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mo\_Studying(5th_sem)\ElectricalAndSchemotechnicalEngineering\лаб1\"/>
    </mc:Choice>
  </mc:AlternateContent>
  <xr:revisionPtr revIDLastSave="0" documentId="13_ncr:1_{1488D033-69B4-4AC7-AF0B-88AC17274616}" xr6:coauthVersionLast="47" xr6:coauthVersionMax="47" xr10:uidLastSave="{00000000-0000-0000-0000-000000000000}"/>
  <bookViews>
    <workbookView xWindow="1131" yWindow="1131" windowWidth="18515" windowHeight="107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C8" i="1"/>
  <c r="B8" i="1"/>
  <c r="B7" i="1"/>
  <c r="B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<sst xmlns="http://schemas.openxmlformats.org/spreadsheetml/2006/main" count="6" uniqueCount="6">
  <si>
    <t>Разряд RC-цепи</t>
  </si>
  <si>
    <t>№</t>
  </si>
  <si>
    <t>tau</t>
  </si>
  <si>
    <t>U_0</t>
  </si>
  <si>
    <t>t</t>
  </si>
  <si>
    <t>U_t=U_0*e^(-t/tau)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</si>
</sst>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Экспериментальные данные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olid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Лист1!$B$4:$K$4</c:f>
              <c:numCache>
                <c:formatCode>General</c:formatCode>
                <c:ptCount val="10"/>
                <c:pt idx="0">
                  <c:v>0.8</c:v>
                </c:pt>
                <c:pt idx="1">
                  <c:v>6.4</c:v>
                </c:pt>
                <c:pt idx="2">
                  <c:v>14.2</c:v>
                </c:pt>
                <c:pt idx="3">
                  <c:v>22.8</c:v>
                </c:pt>
                <c:pt idx="4">
                  <c:v>29.6</c:v>
                </c:pt>
                <c:pt idx="5">
                  <c:v>38.200000000000003</c:v>
                </c:pt>
                <c:pt idx="6">
                  <c:v>45.8</c:v>
                </c:pt>
                <c:pt idx="7">
                  <c:v>54.4</c:v>
                </c:pt>
                <c:pt idx="8">
                  <c:v>63</c:v>
                </c:pt>
                <c:pt idx="9">
                  <c:v>72</c:v>
                </c:pt>
              </c:numCache>
            </c:numRef>
          </c:xVal>
          <c:yVal>
            <c:numRef>
              <c:f>Лист1!$B$3:$K$3</c:f>
              <c:numCache>
                <c:formatCode>General</c:formatCode>
                <c:ptCount val="10"/>
                <c:pt idx="0">
                  <c:v>4.16</c:v>
                </c:pt>
                <c:pt idx="1">
                  <c:v>3.76</c:v>
                </c:pt>
                <c:pt idx="2">
                  <c:v>3.36</c:v>
                </c:pt>
                <c:pt idx="3">
                  <c:v>2.88</c:v>
                </c:pt>
                <c:pt idx="4">
                  <c:v>2.64</c:v>
                </c:pt>
                <c:pt idx="5">
                  <c:v>2.3199999999999998</c:v>
                </c:pt>
                <c:pt idx="6">
                  <c:v>2.08</c:v>
                </c:pt>
                <c:pt idx="7">
                  <c:v>1.84</c:v>
                </c:pt>
                <c:pt idx="8">
                  <c:v>1.6</c:v>
                </c:pt>
                <c:pt idx="9">
                  <c:v>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6B-402B-8108-BA32E1BEFFAB}"/>
            </c:ext>
          </c:extLst>
        </c:ser>
        <c:ser>
          <c:idx val="1"/>
          <c:order val="1"/>
          <c:tx>
            <c:v>Теоретическая кривая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lgDash"/>
              </a:ln>
              <a:effectLst/>
            </c:spPr>
            <c:trendlineType val="exp"/>
            <c:dispRSqr val="0"/>
            <c:dispEq val="0"/>
          </c:trendline>
          <c:xVal>
            <c:numRef>
              <c:f>Лист1!$B$5:$FZ$5</c:f>
              <c:numCache>
                <c:formatCode>General</c:formatCode>
                <c:ptCount val="18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</c:numCache>
            </c:numRef>
          </c:xVal>
          <c:yVal>
            <c:numRef>
              <c:f>Лист1!$B$8:$FZ$8</c:f>
              <c:numCache>
                <c:formatCode>General</c:formatCode>
                <c:ptCount val="181"/>
                <c:pt idx="0">
                  <c:v>4.2098835372213133</c:v>
                </c:pt>
                <c:pt idx="1">
                  <c:v>4.1786366807209454</c:v>
                </c:pt>
                <c:pt idx="2">
                  <c:v>4.1476217465605938</c:v>
                </c:pt>
                <c:pt idx="3">
                  <c:v>4.116837013352006</c:v>
                </c:pt>
                <c:pt idx="4">
                  <c:v>4.0862807724835184</c:v>
                </c:pt>
                <c:pt idx="5">
                  <c:v>4.0559513280252322</c:v>
                </c:pt>
                <c:pt idx="6">
                  <c:v>4.0258469966348835</c:v>
                </c:pt>
                <c:pt idx="7">
                  <c:v>3.9959661074644157</c:v>
                </c:pt>
                <c:pt idx="8">
                  <c:v>3.9663070020672415</c:v>
                </c:pt>
                <c:pt idx="9">
                  <c:v>3.9368680343061988</c:v>
                </c:pt>
                <c:pt idx="10">
                  <c:v>3.9076475702621871</c:v>
                </c:pt>
                <c:pt idx="11">
                  <c:v>3.8786439881434789</c:v>
                </c:pt>
                <c:pt idx="12">
                  <c:v>3.8498556781957105</c:v>
                </c:pt>
                <c:pt idx="13">
                  <c:v>3.8212810426125348</c:v>
                </c:pt>
                <c:pt idx="14">
                  <c:v>3.7929184954469419</c:v>
                </c:pt>
                <c:pt idx="15">
                  <c:v>3.7647664625232355</c:v>
                </c:pt>
                <c:pt idx="16">
                  <c:v>3.7368233813496632</c:v>
                </c:pt>
                <c:pt idx="17">
                  <c:v>3.7090877010316929</c:v>
                </c:pt>
                <c:pt idx="18">
                  <c:v>3.6815578821859405</c:v>
                </c:pt>
                <c:pt idx="19">
                  <c:v>3.6542323968547259</c:v>
                </c:pt>
                <c:pt idx="20">
                  <c:v>3.6271097284212699</c:v>
                </c:pt>
                <c:pt idx="21">
                  <c:v>3.6001883715255221</c:v>
                </c:pt>
                <c:pt idx="22">
                  <c:v>3.5734668319806056</c:v>
                </c:pt>
                <c:pt idx="23">
                  <c:v>3.5469436266898904</c:v>
                </c:pt>
                <c:pt idx="24">
                  <c:v>3.5206172835646767</c:v>
                </c:pt>
                <c:pt idx="25">
                  <c:v>3.4944863414424936</c:v>
                </c:pt>
                <c:pt idx="26">
                  <c:v>3.4685493500059983</c:v>
                </c:pt>
                <c:pt idx="27">
                  <c:v>3.4428048697024844</c:v>
                </c:pt>
                <c:pt idx="28">
                  <c:v>3.4172514716639797</c:v>
                </c:pt>
                <c:pt idx="29">
                  <c:v>3.3918877376279464</c:v>
                </c:pt>
                <c:pt idx="30">
                  <c:v>3.3667122598585606</c:v>
                </c:pt>
                <c:pt idx="31">
                  <c:v>3.3417236410685813</c:v>
                </c:pt>
                <c:pt idx="32">
                  <c:v>3.3169204943418009</c:v>
                </c:pt>
                <c:pt idx="33">
                  <c:v>3.2923014430560644</c:v>
                </c:pt>
                <c:pt idx="34">
                  <c:v>3.2678651208068676</c:v>
                </c:pt>
                <c:pt idx="35">
                  <c:v>3.2436101713315177</c:v>
                </c:pt>
                <c:pt idx="36">
                  <c:v>3.2195352484338575</c:v>
                </c:pt>
                <c:pt idx="37">
                  <c:v>3.1956390159095514</c:v>
                </c:pt>
                <c:pt idx="38">
                  <c:v>3.1719201474719196</c:v>
                </c:pt>
                <c:pt idx="39">
                  <c:v>3.1483773266783306</c:v>
                </c:pt>
                <c:pt idx="40">
                  <c:v>3.1250092468571338</c:v>
                </c:pt>
                <c:pt idx="41">
                  <c:v>3.1018146110351363</c:v>
                </c:pt>
                <c:pt idx="42">
                  <c:v>3.0787921318656215</c:v>
                </c:pt>
                <c:pt idx="43">
                  <c:v>3.0559405315568955</c:v>
                </c:pt>
                <c:pt idx="44">
                  <c:v>3.0332585418013678</c:v>
                </c:pt>
                <c:pt idx="45">
                  <c:v>3.0107449037051599</c:v>
                </c:pt>
                <c:pt idx="46">
                  <c:v>2.9883983677182324</c:v>
                </c:pt>
                <c:pt idx="47">
                  <c:v>2.9662176935650324</c:v>
                </c:pt>
                <c:pt idx="48">
                  <c:v>2.9442016501756574</c:v>
                </c:pt>
                <c:pt idx="49">
                  <c:v>2.9223490156175269</c:v>
                </c:pt>
                <c:pt idx="50">
                  <c:v>2.9006585770275644</c:v>
                </c:pt>
                <c:pt idx="51">
                  <c:v>2.8791291305448796</c:v>
                </c:pt>
                <c:pt idx="52">
                  <c:v>2.8577594812439524</c:v>
                </c:pt>
                <c:pt idx="53">
                  <c:v>2.8365484430683128</c:v>
                </c:pt>
                <c:pt idx="54">
                  <c:v>2.815494838764713</c:v>
                </c:pt>
                <c:pt idx="55">
                  <c:v>2.794597499817784</c:v>
                </c:pt>
                <c:pt idx="56">
                  <c:v>2.7738552663851861</c:v>
                </c:pt>
                <c:pt idx="57">
                  <c:v>2.753266987233232</c:v>
                </c:pt>
                <c:pt idx="58">
                  <c:v>2.7328315196729913</c:v>
                </c:pt>
                <c:pt idx="59">
                  <c:v>2.7125477294968698</c:v>
                </c:pt>
                <c:pt idx="60">
                  <c:v>2.6924144909156587</c:v>
                </c:pt>
                <c:pt idx="61">
                  <c:v>2.6724306864960519</c:v>
                </c:pt>
                <c:pt idx="62">
                  <c:v>2.6525952070986243</c:v>
                </c:pt>
                <c:pt idx="63">
                  <c:v>2.6329069518162744</c:v>
                </c:pt>
                <c:pt idx="64">
                  <c:v>2.6133648279131205</c:v>
                </c:pt>
                <c:pt idx="65">
                  <c:v>2.5939677507638539</c:v>
                </c:pt>
                <c:pt idx="66">
                  <c:v>2.574714643793536</c:v>
                </c:pt>
                <c:pt idx="67">
                  <c:v>2.5556044384178516</c:v>
                </c:pt>
                <c:pt idx="68">
                  <c:v>2.5366360739837952</c:v>
                </c:pt>
                <c:pt idx="69">
                  <c:v>2.5178084977108077</c:v>
                </c:pt>
                <c:pt idx="70">
                  <c:v>2.4991206646323407</c:v>
                </c:pt>
                <c:pt idx="71">
                  <c:v>2.4805715375378621</c:v>
                </c:pt>
                <c:pt idx="72">
                  <c:v>2.4621600869152864</c:v>
                </c:pt>
                <c:pt idx="73">
                  <c:v>2.4438852908938378</c:v>
                </c:pt>
                <c:pt idx="74">
                  <c:v>2.4257461351873295</c:v>
                </c:pt>
                <c:pt idx="75">
                  <c:v>2.4077416130378757</c:v>
                </c:pt>
                <c:pt idx="76">
                  <c:v>2.3898707251600091</c:v>
                </c:pt>
                <c:pt idx="77">
                  <c:v>2.3721324796852201</c:v>
                </c:pt>
                <c:pt idx="78">
                  <c:v>2.3545258921069063</c:v>
                </c:pt>
                <c:pt idx="79">
                  <c:v>2.3370499852257329</c:v>
                </c:pt>
                <c:pt idx="80">
                  <c:v>2.3197037890953909</c:v>
                </c:pt>
                <c:pt idx="81">
                  <c:v>2.3024863409687697</c:v>
                </c:pt>
                <c:pt idx="82">
                  <c:v>2.2853966852445176</c:v>
                </c:pt>
                <c:pt idx="83">
                  <c:v>2.2684338734140064</c:v>
                </c:pt>
                <c:pt idx="84">
                  <c:v>2.2515969640086868</c:v>
                </c:pt>
                <c:pt idx="85">
                  <c:v>2.2348850225478354</c:v>
                </c:pt>
                <c:pt idx="86">
                  <c:v>2.2182971214866893</c:v>
                </c:pt>
                <c:pt idx="87">
                  <c:v>2.2018323401649651</c:v>
                </c:pt>
                <c:pt idx="88">
                  <c:v>2.1854897647557614</c:v>
                </c:pt>
                <c:pt idx="89">
                  <c:v>2.1692684882148381</c:v>
                </c:pt>
                <c:pt idx="90">
                  <c:v>2.1531676102302755</c:v>
                </c:pt>
                <c:pt idx="91">
                  <c:v>2.1371862371725037</c:v>
                </c:pt>
                <c:pt idx="92">
                  <c:v>2.1213234820447049</c:v>
                </c:pt>
                <c:pt idx="93">
                  <c:v>2.1055784644335853</c:v>
                </c:pt>
                <c:pt idx="94">
                  <c:v>2.0899503104605071</c:v>
                </c:pt>
                <c:pt idx="95">
                  <c:v>2.0744381527329887</c:v>
                </c:pt>
                <c:pt idx="96">
                  <c:v>2.059041130296563</c:v>
                </c:pt>
                <c:pt idx="97">
                  <c:v>2.0437583885869905</c:v>
                </c:pt>
                <c:pt idx="98">
                  <c:v>2.0285890793828334</c:v>
                </c:pt>
                <c:pt idx="99">
                  <c:v>2.0135323607583731</c:v>
                </c:pt>
                <c:pt idx="100">
                  <c:v>1.9985873970368842</c:v>
                </c:pt>
                <c:pt idx="101">
                  <c:v>1.9837533587442535</c:v>
                </c:pt>
                <c:pt idx="102">
                  <c:v>1.969029422562941</c:v>
                </c:pt>
                <c:pt idx="103">
                  <c:v>1.9544147712862843</c:v>
                </c:pt>
                <c:pt idx="104">
                  <c:v>1.9399085937731433</c:v>
                </c:pt>
                <c:pt idx="105">
                  <c:v>1.9255100849028788</c:v>
                </c:pt>
                <c:pt idx="106">
                  <c:v>1.9112184455306684</c:v>
                </c:pt>
                <c:pt idx="107">
                  <c:v>1.8970328824431513</c:v>
                </c:pt>
                <c:pt idx="108">
                  <c:v>1.8829526083144026</c:v>
                </c:pt>
                <c:pt idx="109">
                  <c:v>1.8689768416622381</c:v>
                </c:pt>
                <c:pt idx="110">
                  <c:v>1.8551048068048375</c:v>
                </c:pt>
                <c:pt idx="111">
                  <c:v>1.8413357338176937</c:v>
                </c:pt>
                <c:pt idx="112">
                  <c:v>1.8276688584908818</c:v>
                </c:pt>
                <c:pt idx="113">
                  <c:v>1.8141034222866417</c:v>
                </c:pt>
                <c:pt idx="114">
                  <c:v>1.8006386722972794</c:v>
                </c:pt>
                <c:pt idx="115">
                  <c:v>1.7872738612033781</c:v>
                </c:pt>
                <c:pt idx="116">
                  <c:v>1.7740082472323224</c:v>
                </c:pt>
                <c:pt idx="117">
                  <c:v>1.7608410941171257</c:v>
                </c:pt>
                <c:pt idx="118">
                  <c:v>1.7477716710555689</c:v>
                </c:pt>
                <c:pt idx="119">
                  <c:v>1.7347992526696365</c:v>
                </c:pt>
                <c:pt idx="120">
                  <c:v>1.7219231189652604</c:v>
                </c:pt>
                <c:pt idx="121">
                  <c:v>1.7091425552923547</c:v>
                </c:pt>
                <c:pt idx="122">
                  <c:v>1.6964568523051544</c:v>
                </c:pt>
                <c:pt idx="123">
                  <c:v>1.6838653059228443</c:v>
                </c:pt>
                <c:pt idx="124">
                  <c:v>1.671367217290481</c:v>
                </c:pt>
                <c:pt idx="125">
                  <c:v>1.6589618927402048</c:v>
                </c:pt>
                <c:pt idx="126">
                  <c:v>1.6466486437527406</c:v>
                </c:pt>
                <c:pt idx="127">
                  <c:v>1.6344267869191833</c:v>
                </c:pt>
                <c:pt idx="128">
                  <c:v>1.6222956439030678</c:v>
                </c:pt>
                <c:pt idx="129">
                  <c:v>1.6102545414027194</c:v>
                </c:pt>
                <c:pt idx="130">
                  <c:v>1.5983028111138839</c:v>
                </c:pt>
                <c:pt idx="131">
                  <c:v>1.5864397896926372</c:v>
                </c:pt>
                <c:pt idx="132">
                  <c:v>1.5746648187185661</c:v>
                </c:pt>
                <c:pt idx="133">
                  <c:v>1.5629772446582268</c:v>
                </c:pt>
                <c:pt idx="134">
                  <c:v>1.551376418828871</c:v>
                </c:pt>
                <c:pt idx="135">
                  <c:v>1.5398616973624437</c:v>
                </c:pt>
                <c:pt idx="136">
                  <c:v>1.5284324411698471</c:v>
                </c:pt>
                <c:pt idx="137">
                  <c:v>1.5170880159054689</c:v>
                </c:pt>
                <c:pt idx="138">
                  <c:v>1.5058277919319778</c:v>
                </c:pt>
                <c:pt idx="139">
                  <c:v>1.4946511442853727</c:v>
                </c:pt>
                <c:pt idx="140">
                  <c:v>1.4835574526403015</c:v>
                </c:pt>
                <c:pt idx="141">
                  <c:v>1.4725461012756265</c:v>
                </c:pt>
                <c:pt idx="142">
                  <c:v>1.4616164790402557</c:v>
                </c:pt>
                <c:pt idx="143">
                  <c:v>1.4507679793192183</c:v>
                </c:pt>
                <c:pt idx="144">
                  <c:v>1.44</c:v>
                </c:pt>
                <c:pt idx="145">
                  <c:v>1.4293119434391219</c:v>
                </c:pt>
                <c:pt idx="146">
                  <c:v>1.4187032164289723</c:v>
                </c:pt>
                <c:pt idx="147">
                  <c:v>1.4081732301648804</c:v>
                </c:pt>
                <c:pt idx="148">
                  <c:v>1.3977214002124383</c:v>
                </c:pt>
                <c:pt idx="149">
                  <c:v>1.3873471464750631</c:v>
                </c:pt>
                <c:pt idx="150">
                  <c:v>1.3770498931618007</c:v>
                </c:pt>
                <c:pt idx="151">
                  <c:v>1.366829068755367</c:v>
                </c:pt>
                <c:pt idx="152">
                  <c:v>1.35668410598043</c:v>
                </c:pt>
                <c:pt idx="153">
                  <c:v>1.3466144417721222</c:v>
                </c:pt>
                <c:pt idx="154">
                  <c:v>1.3366195172447921</c:v>
                </c:pt>
                <c:pt idx="155">
                  <c:v>1.3266987776609824</c:v>
                </c:pt>
                <c:pt idx="156">
                  <c:v>1.3168516724006436</c:v>
                </c:pt>
                <c:pt idx="157">
                  <c:v>1.3070776549305705</c:v>
                </c:pt>
                <c:pt idx="158">
                  <c:v>1.2973761827740722</c:v>
                </c:pt>
                <c:pt idx="159">
                  <c:v>1.2877467174808603</c:v>
                </c:pt>
                <c:pt idx="160">
                  <c:v>1.2781887245971657</c:v>
                </c:pt>
                <c:pt idx="161">
                  <c:v>1.2687016736360746</c:v>
                </c:pt>
                <c:pt idx="162">
                  <c:v>1.2592850380480864</c:v>
                </c:pt>
                <c:pt idx="163">
                  <c:v>1.2499382951918883</c:v>
                </c:pt>
                <c:pt idx="164">
                  <c:v>1.2406609263053479</c:v>
                </c:pt>
                <c:pt idx="165">
                  <c:v>1.2314524164767209</c:v>
                </c:pt>
                <c:pt idx="166">
                  <c:v>1.2223122546160732</c:v>
                </c:pt>
                <c:pt idx="167">
                  <c:v>1.2132399334269126</c:v>
                </c:pt>
                <c:pt idx="168">
                  <c:v>1.204234949378036</c:v>
                </c:pt>
                <c:pt idx="169">
                  <c:v>1.1952968026755784</c:v>
                </c:pt>
                <c:pt idx="170">
                  <c:v>1.1864249972352778</c:v>
                </c:pt>
                <c:pt idx="171">
                  <c:v>1.1776190406549374</c:v>
                </c:pt>
                <c:pt idx="172">
                  <c:v>1.1688784441870994</c:v>
                </c:pt>
                <c:pt idx="173">
                  <c:v>1.1602027227119167</c:v>
                </c:pt>
                <c:pt idx="174">
                  <c:v>1.1515913947102296</c:v>
                </c:pt>
                <c:pt idx="175">
                  <c:v>1.1430439822368383</c:v>
                </c:pt>
                <c:pt idx="176">
                  <c:v>1.1345600108939786</c:v>
                </c:pt>
                <c:pt idx="177">
                  <c:v>1.1261390098049886</c:v>
                </c:pt>
                <c:pt idx="178">
                  <c:v>1.1177805115881785</c:v>
                </c:pt>
                <c:pt idx="179">
                  <c:v>1.1094840523308855</c:v>
                </c:pt>
                <c:pt idx="180">
                  <c:v>1.1012491715637298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6B-402B-8108-BA32E1BEF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822496"/>
        <c:axId val="1256820096"/>
      </c:scatterChart>
      <c:valAx>
        <c:axId val="1256822496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 </a:t>
                </a:r>
                <a:r>
                  <a:rPr lang="ru-RU"/>
                  <a:t>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6820096"/>
        <c:crosses val="autoZero"/>
        <c:crossBetween val="midCat"/>
      </c:valAx>
      <c:valAx>
        <c:axId val="1256820096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U(t), </a:t>
                </a:r>
                <a:r>
                  <a:rPr lang="ru-RU"/>
                  <a:t>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5682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449035</xdr:colOff>
      <xdr:row>10</xdr:row>
      <xdr:rowOff>111579</xdr:rowOff>
    </xdr:from>
    <xdr:to>
      <xdr:col>11</xdr:col>
      <xdr:colOff>449035</xdr:colOff>
      <xdr:row>28</xdr:row>
      <xdr:rowOff>119742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985277A-86DA-DB65-CCAB-EB196B201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8"/>
  <sheetViews>
    <sheetView tabSelected="1" topLeftCell="A9" workbookViewId="0">
      <selection activeCell="M21" sqref="M21"/>
    </sheetView>
  </sheetViews>
  <sheetFormatPr defaultRowHeight="14.6" x14ac:dyDescent="0.4"/>
  <cols>
    <col min="1" max="1" width="17.07421875" bestFit="1" customWidth="1"/>
  </cols>
  <sheetData>
    <row r="1" spans="1:182" ht="15.45" thickBot="1" x14ac:dyDescent="0.45">
      <c r="A1" s="1"/>
      <c r="B1" s="7" t="s">
        <v>0</v>
      </c>
      <c r="C1" s="6"/>
      <c r="D1" s="6"/>
      <c r="E1" s="6"/>
      <c r="F1" s="6"/>
      <c r="G1" s="6"/>
      <c r="H1" s="6"/>
      <c r="I1" s="6"/>
      <c r="J1" s="6"/>
      <c r="K1" s="8"/>
    </row>
    <row r="2" spans="1:182" ht="15.45" thickBot="1" x14ac:dyDescent="0.4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</row>
    <row r="3" spans="1:182" ht="15.9" thickBot="1" x14ac:dyDescent="0.45">
      <c r="A3" s="4" t="e" vm="1">
        <v>#VALUE!</v>
      </c>
      <c r="B3" s="5">
        <v>4.16</v>
      </c>
      <c r="C3" s="5">
        <v>3.76</v>
      </c>
      <c r="D3" s="5">
        <v>3.36</v>
      </c>
      <c r="E3" s="5">
        <v>2.88</v>
      </c>
      <c r="F3" s="5">
        <v>2.64</v>
      </c>
      <c r="G3" s="5">
        <v>2.3199999999999998</v>
      </c>
      <c r="H3" s="5">
        <v>2.08</v>
      </c>
      <c r="I3" s="5">
        <v>1.84</v>
      </c>
      <c r="J3" s="5">
        <v>1.6</v>
      </c>
      <c r="K3" s="5">
        <v>1.44</v>
      </c>
    </row>
    <row r="4" spans="1:182" ht="15.9" thickBot="1" x14ac:dyDescent="0.45">
      <c r="A4" s="4" t="e" vm="2">
        <v>#VALUE!</v>
      </c>
      <c r="B4" s="5">
        <v>0.8</v>
      </c>
      <c r="C4" s="5">
        <v>6.4</v>
      </c>
      <c r="D4" s="5">
        <v>14.2</v>
      </c>
      <c r="E4" s="5">
        <v>22.8</v>
      </c>
      <c r="F4" s="5">
        <v>29.6</v>
      </c>
      <c r="G4" s="5">
        <v>38.200000000000003</v>
      </c>
      <c r="H4" s="5">
        <v>45.8</v>
      </c>
      <c r="I4" s="5">
        <v>54.4</v>
      </c>
      <c r="J4" s="5">
        <v>63</v>
      </c>
      <c r="K4" s="5">
        <v>72</v>
      </c>
    </row>
    <row r="5" spans="1:182" x14ac:dyDescent="0.4">
      <c r="A5" t="s">
        <v>4</v>
      </c>
      <c r="B5">
        <v>0</v>
      </c>
      <c r="C5">
        <v>0.5</v>
      </c>
      <c r="D5">
        <v>1</v>
      </c>
      <c r="E5">
        <v>1.5</v>
      </c>
      <c r="F5">
        <v>2</v>
      </c>
      <c r="G5">
        <v>2.5</v>
      </c>
      <c r="H5">
        <v>3</v>
      </c>
      <c r="I5">
        <v>3.5</v>
      </c>
      <c r="J5">
        <v>4</v>
      </c>
      <c r="K5">
        <v>4.5</v>
      </c>
      <c r="L5">
        <v>5</v>
      </c>
      <c r="M5">
        <v>5.5</v>
      </c>
      <c r="N5">
        <v>6</v>
      </c>
      <c r="O5">
        <v>6.5</v>
      </c>
      <c r="P5">
        <v>7</v>
      </c>
      <c r="Q5">
        <v>7.5</v>
      </c>
      <c r="R5">
        <v>8</v>
      </c>
      <c r="S5">
        <v>8.5</v>
      </c>
      <c r="T5">
        <v>9</v>
      </c>
      <c r="U5">
        <v>9.5</v>
      </c>
      <c r="V5">
        <v>10</v>
      </c>
      <c r="W5">
        <v>10.5</v>
      </c>
      <c r="X5">
        <v>11</v>
      </c>
      <c r="Y5">
        <v>11.5</v>
      </c>
      <c r="Z5">
        <v>12</v>
      </c>
      <c r="AA5">
        <v>12.5</v>
      </c>
      <c r="AB5">
        <v>13</v>
      </c>
      <c r="AC5">
        <v>13.5</v>
      </c>
      <c r="AD5">
        <v>14</v>
      </c>
      <c r="AE5">
        <v>14.5</v>
      </c>
      <c r="AF5">
        <v>15</v>
      </c>
      <c r="AG5">
        <v>15.5</v>
      </c>
      <c r="AH5">
        <v>16</v>
      </c>
      <c r="AI5">
        <v>16.5</v>
      </c>
      <c r="AJ5">
        <v>17</v>
      </c>
      <c r="AK5">
        <v>17.5</v>
      </c>
      <c r="AL5">
        <v>18</v>
      </c>
      <c r="AM5">
        <v>18.5</v>
      </c>
      <c r="AN5">
        <v>19</v>
      </c>
      <c r="AO5">
        <v>19.5</v>
      </c>
      <c r="AP5">
        <v>20</v>
      </c>
      <c r="AQ5">
        <v>20.5</v>
      </c>
      <c r="AR5">
        <v>21</v>
      </c>
      <c r="AS5">
        <v>21.5</v>
      </c>
      <c r="AT5">
        <v>22</v>
      </c>
      <c r="AU5">
        <v>22.5</v>
      </c>
      <c r="AV5">
        <v>23</v>
      </c>
      <c r="AW5">
        <v>23.5</v>
      </c>
      <c r="AX5">
        <v>24</v>
      </c>
      <c r="AY5">
        <v>24.5</v>
      </c>
      <c r="AZ5">
        <v>25</v>
      </c>
      <c r="BA5">
        <v>25.5</v>
      </c>
      <c r="BB5">
        <v>26</v>
      </c>
      <c r="BC5">
        <v>26.5</v>
      </c>
      <c r="BD5">
        <v>27</v>
      </c>
      <c r="BE5">
        <v>27.5</v>
      </c>
      <c r="BF5">
        <v>28</v>
      </c>
      <c r="BG5">
        <v>28.5</v>
      </c>
      <c r="BH5">
        <v>29</v>
      </c>
      <c r="BI5">
        <v>29.5</v>
      </c>
      <c r="BJ5">
        <v>30</v>
      </c>
      <c r="BK5">
        <v>30.5</v>
      </c>
      <c r="BL5">
        <v>31</v>
      </c>
      <c r="BM5">
        <v>31.5</v>
      </c>
      <c r="BN5">
        <v>32</v>
      </c>
      <c r="BO5">
        <v>32.5</v>
      </c>
      <c r="BP5">
        <v>33</v>
      </c>
      <c r="BQ5">
        <v>33.5</v>
      </c>
      <c r="BR5">
        <v>34</v>
      </c>
      <c r="BS5">
        <v>34.5</v>
      </c>
      <c r="BT5">
        <v>35</v>
      </c>
      <c r="BU5">
        <v>35.5</v>
      </c>
      <c r="BV5">
        <v>36</v>
      </c>
      <c r="BW5">
        <v>36.5</v>
      </c>
      <c r="BX5">
        <v>37</v>
      </c>
      <c r="BY5">
        <v>37.5</v>
      </c>
      <c r="BZ5">
        <v>38</v>
      </c>
      <c r="CA5">
        <v>38.5</v>
      </c>
      <c r="CB5">
        <v>39</v>
      </c>
      <c r="CC5">
        <v>39.5</v>
      </c>
      <c r="CD5">
        <v>40</v>
      </c>
      <c r="CE5">
        <v>40.5</v>
      </c>
      <c r="CF5">
        <v>41</v>
      </c>
      <c r="CG5">
        <v>41.5</v>
      </c>
      <c r="CH5">
        <v>42</v>
      </c>
      <c r="CI5">
        <v>42.5</v>
      </c>
      <c r="CJ5">
        <v>43</v>
      </c>
      <c r="CK5">
        <v>43.5</v>
      </c>
      <c r="CL5">
        <v>44</v>
      </c>
      <c r="CM5">
        <v>44.5</v>
      </c>
      <c r="CN5">
        <v>45</v>
      </c>
      <c r="CO5">
        <v>45.5</v>
      </c>
      <c r="CP5">
        <v>46</v>
      </c>
      <c r="CQ5">
        <v>46.5</v>
      </c>
      <c r="CR5">
        <v>47</v>
      </c>
      <c r="CS5">
        <v>47.5</v>
      </c>
      <c r="CT5">
        <v>48</v>
      </c>
      <c r="CU5">
        <v>48.5</v>
      </c>
      <c r="CV5">
        <v>49</v>
      </c>
      <c r="CW5">
        <v>49.5</v>
      </c>
      <c r="CX5">
        <v>50</v>
      </c>
      <c r="CY5">
        <v>50.5</v>
      </c>
      <c r="CZ5">
        <v>51</v>
      </c>
      <c r="DA5">
        <v>51.5</v>
      </c>
      <c r="DB5">
        <v>52</v>
      </c>
      <c r="DC5">
        <v>52.5</v>
      </c>
      <c r="DD5">
        <v>53</v>
      </c>
      <c r="DE5">
        <v>53.5</v>
      </c>
      <c r="DF5">
        <v>54</v>
      </c>
      <c r="DG5">
        <v>54.5</v>
      </c>
      <c r="DH5">
        <v>55</v>
      </c>
      <c r="DI5">
        <v>55.5</v>
      </c>
      <c r="DJ5">
        <v>56</v>
      </c>
      <c r="DK5">
        <v>56.5</v>
      </c>
      <c r="DL5">
        <v>57</v>
      </c>
      <c r="DM5">
        <v>57.5</v>
      </c>
      <c r="DN5">
        <v>58</v>
      </c>
      <c r="DO5">
        <v>58.5</v>
      </c>
      <c r="DP5">
        <v>59</v>
      </c>
      <c r="DQ5">
        <v>59.5</v>
      </c>
      <c r="DR5">
        <v>60</v>
      </c>
      <c r="DS5">
        <v>60.5</v>
      </c>
      <c r="DT5">
        <v>61</v>
      </c>
      <c r="DU5">
        <v>61.5</v>
      </c>
      <c r="DV5">
        <v>62</v>
      </c>
      <c r="DW5">
        <v>62.5</v>
      </c>
      <c r="DX5">
        <v>63</v>
      </c>
      <c r="DY5">
        <v>63.5</v>
      </c>
      <c r="DZ5">
        <v>64</v>
      </c>
      <c r="EA5">
        <v>64.5</v>
      </c>
      <c r="EB5">
        <v>65</v>
      </c>
      <c r="EC5">
        <v>65.5</v>
      </c>
      <c r="ED5">
        <v>66</v>
      </c>
      <c r="EE5">
        <v>66.5</v>
      </c>
      <c r="EF5">
        <v>67</v>
      </c>
      <c r="EG5">
        <v>67.5</v>
      </c>
      <c r="EH5">
        <v>68</v>
      </c>
      <c r="EI5">
        <v>68.5</v>
      </c>
      <c r="EJ5">
        <v>69</v>
      </c>
      <c r="EK5">
        <v>69.5</v>
      </c>
      <c r="EL5">
        <v>70</v>
      </c>
      <c r="EM5">
        <v>70.5</v>
      </c>
      <c r="EN5">
        <v>71</v>
      </c>
      <c r="EO5">
        <v>71.5</v>
      </c>
      <c r="EP5">
        <v>72</v>
      </c>
      <c r="EQ5">
        <v>72.5</v>
      </c>
      <c r="ER5">
        <v>73</v>
      </c>
      <c r="ES5">
        <v>73.5</v>
      </c>
      <c r="ET5">
        <v>74</v>
      </c>
      <c r="EU5">
        <v>74.5</v>
      </c>
      <c r="EV5">
        <v>75</v>
      </c>
      <c r="EW5">
        <v>75.5</v>
      </c>
      <c r="EX5">
        <v>76</v>
      </c>
      <c r="EY5">
        <v>76.5</v>
      </c>
      <c r="EZ5">
        <v>77</v>
      </c>
      <c r="FA5">
        <v>77.5</v>
      </c>
      <c r="FB5">
        <v>78</v>
      </c>
      <c r="FC5">
        <v>78.5</v>
      </c>
      <c r="FD5">
        <v>79</v>
      </c>
      <c r="FE5">
        <v>79.5</v>
      </c>
      <c r="FF5">
        <v>80</v>
      </c>
      <c r="FG5">
        <v>80.5</v>
      </c>
      <c r="FH5">
        <v>81</v>
      </c>
      <c r="FI5">
        <v>81.5</v>
      </c>
      <c r="FJ5">
        <v>82</v>
      </c>
      <c r="FK5">
        <v>82.5</v>
      </c>
      <c r="FL5">
        <v>83</v>
      </c>
      <c r="FM5">
        <v>83.5</v>
      </c>
      <c r="FN5">
        <v>84</v>
      </c>
      <c r="FO5">
        <v>84.5</v>
      </c>
      <c r="FP5">
        <v>85</v>
      </c>
      <c r="FQ5">
        <v>85.5</v>
      </c>
      <c r="FR5">
        <v>86</v>
      </c>
      <c r="FS5">
        <v>86.5</v>
      </c>
      <c r="FT5">
        <v>87</v>
      </c>
      <c r="FU5">
        <v>87.5</v>
      </c>
      <c r="FV5">
        <v>88</v>
      </c>
      <c r="FW5">
        <v>88.5</v>
      </c>
      <c r="FX5">
        <v>89</v>
      </c>
      <c r="FY5">
        <v>89.5</v>
      </c>
      <c r="FZ5">
        <v>90</v>
      </c>
    </row>
    <row r="6" spans="1:182" x14ac:dyDescent="0.4">
      <c r="A6" t="s">
        <v>2</v>
      </c>
      <c r="B6">
        <f>(K4-B4)/(LN(B3/K3))</f>
        <v>67.114602552044886</v>
      </c>
    </row>
    <row r="7" spans="1:182" x14ac:dyDescent="0.4">
      <c r="A7" t="s">
        <v>3</v>
      </c>
      <c r="B7">
        <f>B3/(EXP(-B4/B6))</f>
        <v>4.2098835372213133</v>
      </c>
    </row>
    <row r="8" spans="1:182" x14ac:dyDescent="0.4">
      <c r="A8" t="s">
        <v>5</v>
      </c>
      <c r="B8">
        <f>$B$7*EXP(-B5/$B$6)</f>
        <v>4.2098835372213133</v>
      </c>
      <c r="C8">
        <f>$B$7*EXP(-C5/$B$6)</f>
        <v>4.1786366807209454</v>
      </c>
      <c r="D8">
        <f t="shared" ref="D8:BO8" si="0">$B$7*EXP(-D5/$B$6)</f>
        <v>4.1476217465605938</v>
      </c>
      <c r="E8">
        <f t="shared" si="0"/>
        <v>4.116837013352006</v>
      </c>
      <c r="F8">
        <f t="shared" si="0"/>
        <v>4.0862807724835184</v>
      </c>
      <c r="G8">
        <f t="shared" si="0"/>
        <v>4.0559513280252322</v>
      </c>
      <c r="H8">
        <f t="shared" si="0"/>
        <v>4.0258469966348835</v>
      </c>
      <c r="I8">
        <f t="shared" si="0"/>
        <v>3.9959661074644157</v>
      </c>
      <c r="J8">
        <f t="shared" si="0"/>
        <v>3.9663070020672415</v>
      </c>
      <c r="K8">
        <f t="shared" si="0"/>
        <v>3.9368680343061988</v>
      </c>
      <c r="L8">
        <f t="shared" si="0"/>
        <v>3.9076475702621871</v>
      </c>
      <c r="M8">
        <f t="shared" si="0"/>
        <v>3.8786439881434789</v>
      </c>
      <c r="N8">
        <f t="shared" si="0"/>
        <v>3.8498556781957105</v>
      </c>
      <c r="O8">
        <f t="shared" si="0"/>
        <v>3.8212810426125348</v>
      </c>
      <c r="P8">
        <f t="shared" si="0"/>
        <v>3.7929184954469419</v>
      </c>
      <c r="Q8">
        <f t="shared" si="0"/>
        <v>3.7647664625232355</v>
      </c>
      <c r="R8">
        <f t="shared" si="0"/>
        <v>3.7368233813496632</v>
      </c>
      <c r="S8">
        <f t="shared" si="0"/>
        <v>3.7090877010316929</v>
      </c>
      <c r="T8">
        <f t="shared" si="0"/>
        <v>3.6815578821859405</v>
      </c>
      <c r="U8">
        <f t="shared" si="0"/>
        <v>3.6542323968547259</v>
      </c>
      <c r="V8">
        <f t="shared" si="0"/>
        <v>3.6271097284212699</v>
      </c>
      <c r="W8">
        <f t="shared" si="0"/>
        <v>3.6001883715255221</v>
      </c>
      <c r="X8">
        <f t="shared" si="0"/>
        <v>3.5734668319806056</v>
      </c>
      <c r="Y8">
        <f t="shared" si="0"/>
        <v>3.5469436266898904</v>
      </c>
      <c r="Z8">
        <f t="shared" si="0"/>
        <v>3.5206172835646767</v>
      </c>
      <c r="AA8">
        <f t="shared" si="0"/>
        <v>3.4944863414424936</v>
      </c>
      <c r="AB8">
        <f t="shared" si="0"/>
        <v>3.4685493500059983</v>
      </c>
      <c r="AC8">
        <f t="shared" si="0"/>
        <v>3.4428048697024844</v>
      </c>
      <c r="AD8">
        <f t="shared" si="0"/>
        <v>3.4172514716639797</v>
      </c>
      <c r="AE8">
        <f t="shared" si="0"/>
        <v>3.3918877376279464</v>
      </c>
      <c r="AF8">
        <f t="shared" si="0"/>
        <v>3.3667122598585606</v>
      </c>
      <c r="AG8">
        <f t="shared" si="0"/>
        <v>3.3417236410685813</v>
      </c>
      <c r="AH8">
        <f t="shared" si="0"/>
        <v>3.3169204943418009</v>
      </c>
      <c r="AI8">
        <f t="shared" si="0"/>
        <v>3.2923014430560644</v>
      </c>
      <c r="AJ8">
        <f t="shared" si="0"/>
        <v>3.2678651208068676</v>
      </c>
      <c r="AK8">
        <f t="shared" si="0"/>
        <v>3.2436101713315177</v>
      </c>
      <c r="AL8">
        <f t="shared" si="0"/>
        <v>3.2195352484338575</v>
      </c>
      <c r="AM8">
        <f t="shared" si="0"/>
        <v>3.1956390159095514</v>
      </c>
      <c r="AN8">
        <f t="shared" si="0"/>
        <v>3.1719201474719196</v>
      </c>
      <c r="AO8">
        <f t="shared" si="0"/>
        <v>3.1483773266783306</v>
      </c>
      <c r="AP8">
        <f t="shared" si="0"/>
        <v>3.1250092468571338</v>
      </c>
      <c r="AQ8">
        <f t="shared" si="0"/>
        <v>3.1018146110351363</v>
      </c>
      <c r="AR8">
        <f t="shared" si="0"/>
        <v>3.0787921318656215</v>
      </c>
      <c r="AS8">
        <f t="shared" si="0"/>
        <v>3.0559405315568955</v>
      </c>
      <c r="AT8">
        <f t="shared" si="0"/>
        <v>3.0332585418013678</v>
      </c>
      <c r="AU8">
        <f t="shared" si="0"/>
        <v>3.0107449037051599</v>
      </c>
      <c r="AV8">
        <f t="shared" si="0"/>
        <v>2.9883983677182324</v>
      </c>
      <c r="AW8">
        <f t="shared" si="0"/>
        <v>2.9662176935650324</v>
      </c>
      <c r="AX8">
        <f t="shared" si="0"/>
        <v>2.9442016501756574</v>
      </c>
      <c r="AY8">
        <f t="shared" si="0"/>
        <v>2.9223490156175269</v>
      </c>
      <c r="AZ8">
        <f t="shared" si="0"/>
        <v>2.9006585770275644</v>
      </c>
      <c r="BA8">
        <f t="shared" si="0"/>
        <v>2.8791291305448796</v>
      </c>
      <c r="BB8">
        <f t="shared" si="0"/>
        <v>2.8577594812439524</v>
      </c>
      <c r="BC8">
        <f t="shared" si="0"/>
        <v>2.8365484430683128</v>
      </c>
      <c r="BD8">
        <f t="shared" si="0"/>
        <v>2.815494838764713</v>
      </c>
      <c r="BE8">
        <f t="shared" si="0"/>
        <v>2.794597499817784</v>
      </c>
      <c r="BF8">
        <f t="shared" si="0"/>
        <v>2.7738552663851861</v>
      </c>
      <c r="BG8">
        <f t="shared" si="0"/>
        <v>2.753266987233232</v>
      </c>
      <c r="BH8">
        <f t="shared" si="0"/>
        <v>2.7328315196729913</v>
      </c>
      <c r="BI8">
        <f t="shared" si="0"/>
        <v>2.7125477294968698</v>
      </c>
      <c r="BJ8">
        <f t="shared" si="0"/>
        <v>2.6924144909156587</v>
      </c>
      <c r="BK8">
        <f t="shared" si="0"/>
        <v>2.6724306864960519</v>
      </c>
      <c r="BL8">
        <f t="shared" si="0"/>
        <v>2.6525952070986243</v>
      </c>
      <c r="BM8">
        <f t="shared" si="0"/>
        <v>2.6329069518162744</v>
      </c>
      <c r="BN8">
        <f t="shared" si="0"/>
        <v>2.6133648279131205</v>
      </c>
      <c r="BO8">
        <f t="shared" si="0"/>
        <v>2.5939677507638539</v>
      </c>
      <c r="BP8">
        <f t="shared" ref="BP8:EA8" si="1">$B$7*EXP(-BP5/$B$6)</f>
        <v>2.574714643793536</v>
      </c>
      <c r="BQ8">
        <f t="shared" si="1"/>
        <v>2.5556044384178516</v>
      </c>
      <c r="BR8">
        <f t="shared" si="1"/>
        <v>2.5366360739837952</v>
      </c>
      <c r="BS8">
        <f t="shared" si="1"/>
        <v>2.5178084977108077</v>
      </c>
      <c r="BT8">
        <f t="shared" si="1"/>
        <v>2.4991206646323407</v>
      </c>
      <c r="BU8">
        <f t="shared" si="1"/>
        <v>2.4805715375378621</v>
      </c>
      <c r="BV8">
        <f t="shared" si="1"/>
        <v>2.4621600869152864</v>
      </c>
      <c r="BW8">
        <f t="shared" si="1"/>
        <v>2.4438852908938378</v>
      </c>
      <c r="BX8">
        <f t="shared" si="1"/>
        <v>2.4257461351873295</v>
      </c>
      <c r="BY8">
        <f t="shared" si="1"/>
        <v>2.4077416130378757</v>
      </c>
      <c r="BZ8">
        <f t="shared" si="1"/>
        <v>2.3898707251600091</v>
      </c>
      <c r="CA8">
        <f t="shared" si="1"/>
        <v>2.3721324796852201</v>
      </c>
      <c r="CB8">
        <f t="shared" si="1"/>
        <v>2.3545258921069063</v>
      </c>
      <c r="CC8">
        <f t="shared" si="1"/>
        <v>2.3370499852257329</v>
      </c>
      <c r="CD8">
        <f t="shared" si="1"/>
        <v>2.3197037890953909</v>
      </c>
      <c r="CE8">
        <f t="shared" si="1"/>
        <v>2.3024863409687697</v>
      </c>
      <c r="CF8">
        <f t="shared" si="1"/>
        <v>2.2853966852445176</v>
      </c>
      <c r="CG8">
        <f t="shared" si="1"/>
        <v>2.2684338734140064</v>
      </c>
      <c r="CH8">
        <f t="shared" si="1"/>
        <v>2.2515969640086868</v>
      </c>
      <c r="CI8">
        <f t="shared" si="1"/>
        <v>2.2348850225478354</v>
      </c>
      <c r="CJ8">
        <f t="shared" si="1"/>
        <v>2.2182971214866893</v>
      </c>
      <c r="CK8">
        <f t="shared" si="1"/>
        <v>2.2018323401649651</v>
      </c>
      <c r="CL8">
        <f t="shared" si="1"/>
        <v>2.1854897647557614</v>
      </c>
      <c r="CM8">
        <f t="shared" si="1"/>
        <v>2.1692684882148381</v>
      </c>
      <c r="CN8">
        <f t="shared" si="1"/>
        <v>2.1531676102302755</v>
      </c>
      <c r="CO8">
        <f t="shared" si="1"/>
        <v>2.1371862371725037</v>
      </c>
      <c r="CP8">
        <f t="shared" si="1"/>
        <v>2.1213234820447049</v>
      </c>
      <c r="CQ8">
        <f t="shared" si="1"/>
        <v>2.1055784644335853</v>
      </c>
      <c r="CR8">
        <f t="shared" si="1"/>
        <v>2.0899503104605071</v>
      </c>
      <c r="CS8">
        <f t="shared" si="1"/>
        <v>2.0744381527329887</v>
      </c>
      <c r="CT8">
        <f t="shared" si="1"/>
        <v>2.059041130296563</v>
      </c>
      <c r="CU8">
        <f t="shared" si="1"/>
        <v>2.0437583885869905</v>
      </c>
      <c r="CV8">
        <f t="shared" si="1"/>
        <v>2.0285890793828334</v>
      </c>
      <c r="CW8">
        <f t="shared" si="1"/>
        <v>2.0135323607583731</v>
      </c>
      <c r="CX8">
        <f t="shared" si="1"/>
        <v>1.9985873970368842</v>
      </c>
      <c r="CY8">
        <f t="shared" si="1"/>
        <v>1.9837533587442535</v>
      </c>
      <c r="CZ8">
        <f t="shared" si="1"/>
        <v>1.969029422562941</v>
      </c>
      <c r="DA8">
        <f t="shared" si="1"/>
        <v>1.9544147712862843</v>
      </c>
      <c r="DB8">
        <f t="shared" si="1"/>
        <v>1.9399085937731433</v>
      </c>
      <c r="DC8">
        <f t="shared" si="1"/>
        <v>1.9255100849028788</v>
      </c>
      <c r="DD8">
        <f t="shared" si="1"/>
        <v>1.9112184455306684</v>
      </c>
      <c r="DE8">
        <f t="shared" si="1"/>
        <v>1.8970328824431513</v>
      </c>
      <c r="DF8">
        <f t="shared" si="1"/>
        <v>1.8829526083144026</v>
      </c>
      <c r="DG8">
        <f t="shared" si="1"/>
        <v>1.8689768416622381</v>
      </c>
      <c r="DH8">
        <f t="shared" si="1"/>
        <v>1.8551048068048375</v>
      </c>
      <c r="DI8">
        <f t="shared" si="1"/>
        <v>1.8413357338176937</v>
      </c>
      <c r="DJ8">
        <f t="shared" si="1"/>
        <v>1.8276688584908818</v>
      </c>
      <c r="DK8">
        <f t="shared" si="1"/>
        <v>1.8141034222866417</v>
      </c>
      <c r="DL8">
        <f t="shared" si="1"/>
        <v>1.8006386722972794</v>
      </c>
      <c r="DM8">
        <f t="shared" si="1"/>
        <v>1.7872738612033781</v>
      </c>
      <c r="DN8">
        <f t="shared" si="1"/>
        <v>1.7740082472323224</v>
      </c>
      <c r="DO8">
        <f t="shared" si="1"/>
        <v>1.7608410941171257</v>
      </c>
      <c r="DP8">
        <f t="shared" si="1"/>
        <v>1.7477716710555689</v>
      </c>
      <c r="DQ8">
        <f t="shared" si="1"/>
        <v>1.7347992526696365</v>
      </c>
      <c r="DR8">
        <f t="shared" si="1"/>
        <v>1.7219231189652604</v>
      </c>
      <c r="DS8">
        <f t="shared" si="1"/>
        <v>1.7091425552923547</v>
      </c>
      <c r="DT8">
        <f t="shared" si="1"/>
        <v>1.6964568523051544</v>
      </c>
      <c r="DU8">
        <f t="shared" si="1"/>
        <v>1.6838653059228443</v>
      </c>
      <c r="DV8">
        <f t="shared" si="1"/>
        <v>1.671367217290481</v>
      </c>
      <c r="DW8">
        <f t="shared" si="1"/>
        <v>1.6589618927402048</v>
      </c>
      <c r="DX8">
        <f t="shared" si="1"/>
        <v>1.6466486437527406</v>
      </c>
      <c r="DY8">
        <f t="shared" si="1"/>
        <v>1.6344267869191833</v>
      </c>
      <c r="DZ8">
        <f t="shared" si="1"/>
        <v>1.6222956439030678</v>
      </c>
      <c r="EA8">
        <f t="shared" si="1"/>
        <v>1.6102545414027194</v>
      </c>
      <c r="EB8">
        <f t="shared" ref="EB8:FZ8" si="2">$B$7*EXP(-EB5/$B$6)</f>
        <v>1.5983028111138839</v>
      </c>
      <c r="EC8">
        <f t="shared" si="2"/>
        <v>1.5864397896926372</v>
      </c>
      <c r="ED8">
        <f t="shared" si="2"/>
        <v>1.5746648187185661</v>
      </c>
      <c r="EE8">
        <f t="shared" si="2"/>
        <v>1.5629772446582268</v>
      </c>
      <c r="EF8">
        <f t="shared" si="2"/>
        <v>1.551376418828871</v>
      </c>
      <c r="EG8">
        <f t="shared" si="2"/>
        <v>1.5398616973624437</v>
      </c>
      <c r="EH8">
        <f t="shared" si="2"/>
        <v>1.5284324411698471</v>
      </c>
      <c r="EI8">
        <f t="shared" si="2"/>
        <v>1.5170880159054689</v>
      </c>
      <c r="EJ8">
        <f t="shared" si="2"/>
        <v>1.5058277919319778</v>
      </c>
      <c r="EK8">
        <f t="shared" si="2"/>
        <v>1.4946511442853727</v>
      </c>
      <c r="EL8">
        <f t="shared" si="2"/>
        <v>1.4835574526403015</v>
      </c>
      <c r="EM8">
        <f t="shared" si="2"/>
        <v>1.4725461012756265</v>
      </c>
      <c r="EN8">
        <f t="shared" si="2"/>
        <v>1.4616164790402557</v>
      </c>
      <c r="EO8">
        <f t="shared" si="2"/>
        <v>1.4507679793192183</v>
      </c>
      <c r="EP8">
        <f t="shared" si="2"/>
        <v>1.44</v>
      </c>
      <c r="EQ8">
        <f t="shared" si="2"/>
        <v>1.4293119434391219</v>
      </c>
      <c r="ER8">
        <f t="shared" si="2"/>
        <v>1.4187032164289723</v>
      </c>
      <c r="ES8">
        <f t="shared" si="2"/>
        <v>1.4081732301648804</v>
      </c>
      <c r="ET8">
        <f t="shared" si="2"/>
        <v>1.3977214002124383</v>
      </c>
      <c r="EU8">
        <f t="shared" si="2"/>
        <v>1.3873471464750631</v>
      </c>
      <c r="EV8">
        <f t="shared" si="2"/>
        <v>1.3770498931618007</v>
      </c>
      <c r="EW8">
        <f t="shared" si="2"/>
        <v>1.366829068755367</v>
      </c>
      <c r="EX8">
        <f t="shared" si="2"/>
        <v>1.35668410598043</v>
      </c>
      <c r="EY8">
        <f t="shared" si="2"/>
        <v>1.3466144417721222</v>
      </c>
      <c r="EZ8">
        <f t="shared" si="2"/>
        <v>1.3366195172447921</v>
      </c>
      <c r="FA8">
        <f t="shared" si="2"/>
        <v>1.3266987776609824</v>
      </c>
      <c r="FB8">
        <f t="shared" si="2"/>
        <v>1.3168516724006436</v>
      </c>
      <c r="FC8">
        <f t="shared" si="2"/>
        <v>1.3070776549305705</v>
      </c>
      <c r="FD8">
        <f t="shared" si="2"/>
        <v>1.2973761827740722</v>
      </c>
      <c r="FE8">
        <f t="shared" si="2"/>
        <v>1.2877467174808603</v>
      </c>
      <c r="FF8">
        <f t="shared" si="2"/>
        <v>1.2781887245971657</v>
      </c>
      <c r="FG8">
        <f t="shared" si="2"/>
        <v>1.2687016736360746</v>
      </c>
      <c r="FH8">
        <f t="shared" si="2"/>
        <v>1.2592850380480864</v>
      </c>
      <c r="FI8">
        <f t="shared" si="2"/>
        <v>1.2499382951918883</v>
      </c>
      <c r="FJ8">
        <f t="shared" si="2"/>
        <v>1.2406609263053479</v>
      </c>
      <c r="FK8">
        <f t="shared" si="2"/>
        <v>1.2314524164767209</v>
      </c>
      <c r="FL8">
        <f t="shared" si="2"/>
        <v>1.2223122546160732</v>
      </c>
      <c r="FM8">
        <f t="shared" si="2"/>
        <v>1.2132399334269126</v>
      </c>
      <c r="FN8">
        <f t="shared" si="2"/>
        <v>1.204234949378036</v>
      </c>
      <c r="FO8">
        <f t="shared" si="2"/>
        <v>1.1952968026755784</v>
      </c>
      <c r="FP8">
        <f t="shared" si="2"/>
        <v>1.1864249972352778</v>
      </c>
      <c r="FQ8">
        <f t="shared" si="2"/>
        <v>1.1776190406549374</v>
      </c>
      <c r="FR8">
        <f t="shared" si="2"/>
        <v>1.1688784441870994</v>
      </c>
      <c r="FS8">
        <f t="shared" si="2"/>
        <v>1.1602027227119167</v>
      </c>
      <c r="FT8">
        <f t="shared" si="2"/>
        <v>1.1515913947102296</v>
      </c>
      <c r="FU8">
        <f t="shared" si="2"/>
        <v>1.1430439822368383</v>
      </c>
      <c r="FV8">
        <f t="shared" si="2"/>
        <v>1.1345600108939786</v>
      </c>
      <c r="FW8">
        <f t="shared" si="2"/>
        <v>1.1261390098049886</v>
      </c>
      <c r="FX8">
        <f t="shared" si="2"/>
        <v>1.1177805115881785</v>
      </c>
      <c r="FY8">
        <f t="shared" si="2"/>
        <v>1.1094840523308855</v>
      </c>
      <c r="FZ8">
        <f t="shared" si="2"/>
        <v>1.1012491715637298</v>
      </c>
    </row>
  </sheetData>
  <mergeCells count="1">
    <mergeCell ref="B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2025-10-15T05:38:17Z</dcterms:modified>
</cp:coreProperties>
</file>