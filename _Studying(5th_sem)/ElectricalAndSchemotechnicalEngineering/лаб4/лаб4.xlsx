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itmo\_Studying(5th_sem)\ElectricalAndSchemotechnicalEngineering\лаб4\"/>
    </mc:Choice>
  </mc:AlternateContent>
  <xr:revisionPtr revIDLastSave="0" documentId="13_ncr:1_{8DC2508B-09FF-4FFD-BCDF-B93C6B5D2D4C}" xr6:coauthVersionLast="47" xr6:coauthVersionMax="47" xr10:uidLastSave="{00000000-0000-0000-0000-000000000000}"/>
  <bookViews>
    <workbookView xWindow="21840" yWindow="-1594" windowWidth="24891" windowHeight="14914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10" i="1"/>
  <c r="E10" i="1"/>
  <c r="F10" i="1"/>
  <c r="B10" i="1"/>
  <c r="G3" i="1"/>
  <c r="H3" i="1" s="1"/>
  <c r="G2" i="1"/>
  <c r="F3" i="1"/>
  <c r="F2" i="1"/>
  <c r="E3" i="1"/>
  <c r="B2" i="1"/>
  <c r="D2" i="1"/>
  <c r="E2" i="1"/>
  <c r="C2" i="1"/>
  <c r="H2" i="1" l="1"/>
</calcChain>
</file>

<file path=xl/sharedStrings.xml><?xml version="1.0" encoding="utf-8"?>
<sst xmlns="http://schemas.openxmlformats.org/spreadsheetml/2006/main" count="21" uniqueCount="21">
  <si>
    <t>Ампл. Вх, В</t>
  </si>
  <si>
    <t>Ампл. Вых, В</t>
  </si>
  <si>
    <t>A_in диф</t>
  </si>
  <si>
    <t>A_out диф</t>
  </si>
  <si>
    <t>A_in син</t>
  </si>
  <si>
    <t>A_out син</t>
  </si>
  <si>
    <t>K_U диф</t>
  </si>
  <si>
    <t>K_U син</t>
  </si>
  <si>
    <t>Шаваев Аслан</t>
  </si>
  <si>
    <t>Машин Егор</t>
  </si>
  <si>
    <t>Уткин Дмитрий</t>
  </si>
  <si>
    <t>Голубев Андрей</t>
  </si>
  <si>
    <t>Мастюгин Никита</t>
  </si>
  <si>
    <t>Суханкулиев Мухаммет</t>
  </si>
  <si>
    <t>Волощук Александр</t>
  </si>
  <si>
    <t>Бардышев Артем</t>
  </si>
  <si>
    <t>Шегай Станислав</t>
  </si>
  <si>
    <t>Замахов Егор</t>
  </si>
  <si>
    <t xml:space="preserve">Амплитуда, В </t>
  </si>
  <si>
    <t>если инвертировать 1 на входе - какой на выходе инвертируется</t>
  </si>
  <si>
    <t>k_occ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</si>
</sst>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B10" sqref="B10:F10"/>
    </sheetView>
  </sheetViews>
  <sheetFormatPr defaultRowHeight="15" x14ac:dyDescent="0.25"/>
  <cols>
    <col min="1" max="1" width="21.140625" bestFit="1" customWidth="1"/>
    <col min="2" max="2" width="12" bestFit="1" customWidth="1"/>
    <col min="6" max="6" width="12" bestFit="1" customWidth="1"/>
  </cols>
  <sheetData>
    <row r="1" spans="1:13" x14ac:dyDescent="0.25">
      <c r="A1" s="1" t="s">
        <v>18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2" t="s">
        <v>20</v>
      </c>
    </row>
    <row r="2" spans="1:13" x14ac:dyDescent="0.25">
      <c r="A2" s="1">
        <v>0.48</v>
      </c>
      <c r="B2" s="1">
        <f>0.6-(-0.44)</f>
        <v>1.04</v>
      </c>
      <c r="C2" s="1">
        <f>5.28-(-5.04)</f>
        <v>10.32</v>
      </c>
      <c r="D2" s="1">
        <f>0.2/2</f>
        <v>0.1</v>
      </c>
      <c r="E2" s="1">
        <f>(0.28-0.04)/2</f>
        <v>0.12000000000000001</v>
      </c>
      <c r="F2" s="1">
        <f>C2/B2</f>
        <v>9.9230769230769234</v>
      </c>
      <c r="G2" s="1">
        <f>E2/D2</f>
        <v>1.2</v>
      </c>
      <c r="H2">
        <f>F2/G2</f>
        <v>8.2692307692307701</v>
      </c>
    </row>
    <row r="3" spans="1:13" x14ac:dyDescent="0.25">
      <c r="A3" s="1">
        <v>0.6</v>
      </c>
      <c r="B3" s="1">
        <v>1.2</v>
      </c>
      <c r="C3" s="1">
        <v>13</v>
      </c>
      <c r="D3" s="1">
        <v>0.2</v>
      </c>
      <c r="E3" s="1">
        <f>0.352/2</f>
        <v>0.17599999999999999</v>
      </c>
      <c r="F3" s="1">
        <f>C3/B3</f>
        <v>10.833333333333334</v>
      </c>
      <c r="G3" s="1">
        <f>E3/D3</f>
        <v>0.87999999999999989</v>
      </c>
      <c r="H3">
        <f>F3/G3</f>
        <v>12.310606060606062</v>
      </c>
    </row>
    <row r="8" spans="1:13" x14ac:dyDescent="0.25">
      <c r="A8" s="1" t="s">
        <v>0</v>
      </c>
      <c r="B8" s="1">
        <v>0.48799999999999999</v>
      </c>
      <c r="C8" s="1">
        <v>0.66400000000000003</v>
      </c>
      <c r="D8" s="1">
        <v>1.21</v>
      </c>
      <c r="E8" s="1">
        <v>1.37</v>
      </c>
      <c r="F8" s="1">
        <v>1.59</v>
      </c>
    </row>
    <row r="9" spans="1:13" x14ac:dyDescent="0.25">
      <c r="A9" s="1" t="s">
        <v>1</v>
      </c>
      <c r="B9" s="1">
        <v>5.24</v>
      </c>
      <c r="C9" s="1">
        <v>6.58</v>
      </c>
      <c r="D9" s="1">
        <v>12.8</v>
      </c>
      <c r="E9" s="1">
        <v>13.5</v>
      </c>
      <c r="F9" s="1">
        <v>15.3</v>
      </c>
    </row>
    <row r="10" spans="1:13" x14ac:dyDescent="0.25">
      <c r="B10">
        <f>B9/B8</f>
        <v>10.737704918032788</v>
      </c>
      <c r="C10">
        <f t="shared" ref="C10:F10" si="0">C9/C8</f>
        <v>9.9096385542168672</v>
      </c>
      <c r="D10">
        <f t="shared" si="0"/>
        <v>10.578512396694215</v>
      </c>
      <c r="E10">
        <f t="shared" si="0"/>
        <v>9.8540145985401448</v>
      </c>
      <c r="F10">
        <f t="shared" si="0"/>
        <v>9.6226415094339615</v>
      </c>
    </row>
    <row r="12" spans="1:13" x14ac:dyDescent="0.25">
      <c r="A12" t="s">
        <v>14</v>
      </c>
    </row>
    <row r="13" spans="1:13" x14ac:dyDescent="0.25">
      <c r="A13" t="s">
        <v>15</v>
      </c>
    </row>
    <row r="14" spans="1:13" x14ac:dyDescent="0.25">
      <c r="A14" t="s">
        <v>16</v>
      </c>
    </row>
    <row r="15" spans="1:13" x14ac:dyDescent="0.25">
      <c r="A15" t="s">
        <v>13</v>
      </c>
    </row>
    <row r="16" spans="1:13" x14ac:dyDescent="0.25">
      <c r="A16" t="s">
        <v>17</v>
      </c>
      <c r="M16" t="s">
        <v>19</v>
      </c>
    </row>
    <row r="18" spans="1:1" x14ac:dyDescent="0.25">
      <c r="A18" t="s">
        <v>12</v>
      </c>
    </row>
    <row r="19" spans="1:1" x14ac:dyDescent="0.25">
      <c r="A19" t="s">
        <v>9</v>
      </c>
    </row>
    <row r="20" spans="1:1" x14ac:dyDescent="0.25">
      <c r="A20" t="s">
        <v>11</v>
      </c>
    </row>
    <row r="21" spans="1:1" x14ac:dyDescent="0.25">
      <c r="A21" t="s">
        <v>10</v>
      </c>
    </row>
    <row r="22" spans="1:1" x14ac:dyDescent="0.25">
      <c r="A2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Мухаммет Суханкулиев</dc:creator>
  <cp:lastModifiedBy>Суханкулиев Мухаммет</cp:lastModifiedBy>
  <dcterms:created xsi:type="dcterms:W3CDTF">2015-06-05T18:19:34Z</dcterms:created>
  <dcterms:modified xsi:type="dcterms:W3CDTF">2025-12-03T23:18:36Z</dcterms:modified>
</cp:coreProperties>
</file>