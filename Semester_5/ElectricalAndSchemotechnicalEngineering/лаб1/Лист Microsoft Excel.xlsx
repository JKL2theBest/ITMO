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tmo\_Studying(5th_sem)\ElectricalAndSchemotechnicalEngineering\лаб1\"/>
    </mc:Choice>
  </mc:AlternateContent>
  <xr:revisionPtr revIDLastSave="0" documentId="13_ncr:1_{8E766F92-CD64-4659-93EF-D61F3888F78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Лист1" sheetId="1" r:id="rId1"/>
    <sheet name="N3346 БардышевАА ВолощукАН Суха" sheetId="3" r:id="rId2"/>
    <sheet name="Лист2" sheetId="2" r:id="rId3"/>
  </sheets>
  <definedNames>
    <definedName name="ExternalData_1" localSheetId="1" hidden="1">'N3346 БардышевАА ВолощукАН Суха'!$A$1:$B$112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0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C8" i="1"/>
  <c r="B8" i="1"/>
  <c r="B7" i="1"/>
  <c r="B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624127-3328-43DB-B252-2A9EF9A3F7DB}" keepAlive="1" name="Запрос — N3346 БардышевАА ВолощукАН СуханкулиевМ ШегайСД ЛР1" description="Соединение с запросом &quot;N3346 БардышевАА ВолощукАН СуханкулиевМ ШегайСД ЛР1&quot; в книге." type="5" refreshedVersion="8" background="1" saveData="1">
    <dbPr connection="Provider=Microsoft.Mashup.OleDb.1;Data Source=$Workbook$;Location=&quot;N3346 БардышевАА ВолощукАН СуханкулиевМ ШегайСД ЛР1&quot;;Extended Properties=&quot;&quot;" command="SELECT * FROM [N3346 БардышевАА ВолощукАН СуханкулиевМ ШегайСД ЛР1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<sst xmlns="http://schemas.openxmlformats.org/spreadsheetml/2006/main" count="230" uniqueCount="225">
  <si>
    <t>Разряд RC-цепи</t>
  </si>
  <si>
    <t>№</t>
  </si>
  <si>
    <t>tau</t>
  </si>
  <si>
    <t>U_0</t>
  </si>
  <si>
    <t>t</t>
  </si>
  <si>
    <t>U_t=U_0*e^(-t/tau)</t>
  </si>
  <si>
    <t>Column1</t>
  </si>
  <si>
    <t>Column2</t>
  </si>
  <si>
    <t/>
  </si>
  <si>
    <t>Label=v(c1) vs T</t>
  </si>
  <si>
    <t>LabelX=T</t>
  </si>
  <si>
    <t>LabelY=v(c1)</t>
  </si>
  <si>
    <t>Data Point Count=105</t>
  </si>
  <si>
    <t>T</t>
  </si>
  <si>
    <t>v(c1)</t>
  </si>
  <si>
    <t xml:space="preserve"> 0.0000000000000000E+000</t>
  </si>
  <si>
    <t xml:space="preserve"> 4.2099999372765202E+000</t>
  </si>
  <si>
    <t xml:space="preserve"> 1.0000000000000000E-004</t>
  </si>
  <si>
    <t xml:space="preserve"> 4.2037369204105932E+000</t>
  </si>
  <si>
    <t xml:space="preserve"> 2.0000000000000001E-004</t>
  </si>
  <si>
    <t xml:space="preserve"> 4.1974832207372668E+000</t>
  </si>
  <si>
    <t xml:space="preserve"> 4.0000000000000002E-004</t>
  </si>
  <si>
    <t xml:space="preserve"> 4.1849944280543250E+000</t>
  </si>
  <si>
    <t xml:space="preserve"> 8.0000000000000004E-004</t>
  </si>
  <si>
    <t xml:space="preserve"> 4.1601281510011212E+000</t>
  </si>
  <si>
    <t xml:space="preserve"> 1.6000000000000001E-003</t>
  </si>
  <si>
    <t xml:space="preserve"> 4.1108375330982661E+000</t>
  </si>
  <si>
    <t xml:space="preserve"> 2.5999999999999999E-003</t>
  </si>
  <si>
    <t xml:space="preserve"> 4.0500443131470938E+000</t>
  </si>
  <si>
    <t xml:space="preserve"> 3.5999999999999999E-003</t>
  </si>
  <si>
    <t xml:space="preserve"> 3.9901501351946087E+000</t>
  </si>
  <si>
    <t xml:space="preserve"> 4.5999999999999999E-003</t>
  </si>
  <si>
    <t xml:space="preserve"> 3.9311417037365395E+000</t>
  </si>
  <si>
    <t xml:space="preserve"> 5.5999999999999999E-003</t>
  </si>
  <si>
    <t xml:space="preserve"> 3.8730059198895042E+000</t>
  </si>
  <si>
    <t xml:space="preserve"> 6.6000000000000000E-003</t>
  </si>
  <si>
    <t xml:space="preserve"> 3.8157298784832707E+000</t>
  </si>
  <si>
    <t xml:space="preserve"> 7.6000000000000000E-003</t>
  </si>
  <si>
    <t xml:space="preserve"> 3.7593008651960296E+000</t>
  </si>
  <si>
    <t xml:space="preserve"> 8.6000000000000000E-003</t>
  </si>
  <si>
    <t xml:space="preserve"> 3.7037063537320245E+000</t>
  </si>
  <si>
    <t xml:space="preserve"> 9.6000000000000009E-003</t>
  </si>
  <si>
    <t xml:space="preserve"> 3.6489340030409276E+000</t>
  </si>
  <si>
    <t xml:space="preserve"> 1.0600000000000002E-002</t>
  </si>
  <si>
    <t xml:space="preserve"> 3.5949716545783290E+000</t>
  </si>
  <si>
    <t xml:space="preserve"> 1.1600000000000003E-002</t>
  </si>
  <si>
    <t xml:space="preserve"> 3.5418073296067480E+000</t>
  </si>
  <si>
    <t xml:space="preserve"> 1.2600000000000004E-002</t>
  </si>
  <si>
    <t xml:space="preserve"> 3.4894292265365507E+000</t>
  </si>
  <si>
    <t xml:space="preserve"> 1.3600000000000004E-002</t>
  </si>
  <si>
    <t xml:space="preserve"> 3.4378257183061960E+000</t>
  </si>
  <si>
    <t xml:space="preserve"> 1.4600000000000005E-002</t>
  </si>
  <si>
    <t xml:space="preserve"> 3.3869853498012237E+000</t>
  </si>
  <si>
    <t xml:space="preserve"> 1.5600000000000006E-002</t>
  </si>
  <si>
    <t xml:space="preserve"> 3.3368968353114101E+000</t>
  </si>
  <si>
    <t xml:space="preserve"> 1.6600000000000007E-002</t>
  </si>
  <si>
    <t xml:space="preserve"> 3.2875490560255272E+000</t>
  </si>
  <si>
    <t xml:space="preserve"> 1.7600000000000008E-002</t>
  </si>
  <si>
    <t xml:space="preserve"> 3.2389310575631565E+000</t>
  </si>
  <si>
    <t xml:space="preserve"> 1.8600000000000009E-002</t>
  </si>
  <si>
    <t xml:space="preserve"> 3.1910320475429970E+000</t>
  </si>
  <si>
    <t xml:space="preserve"> 1.9600000000000010E-002</t>
  </si>
  <si>
    <t xml:space="preserve"> 3.1438413931871412E+000</t>
  </si>
  <si>
    <t xml:space="preserve"> 2.0600000000000011E-002</t>
  </si>
  <si>
    <t xml:space="preserve"> 3.0973486189607717E+000</t>
  </si>
  <si>
    <t xml:space="preserve"> 2.1600000000000012E-002</t>
  </si>
  <si>
    <t xml:space="preserve"> 3.0515434042467704E+000</t>
  </si>
  <si>
    <t xml:space="preserve"> 2.2600000000000012E-002</t>
  </si>
  <si>
    <t xml:space="preserve"> 3.0064155810547151E+000</t>
  </si>
  <si>
    <t xml:space="preserve"> 2.3600000000000013E-002</t>
  </si>
  <si>
    <t xml:space="preserve"> 2.9619551317637551E+000</t>
  </si>
  <si>
    <t xml:space="preserve"> 2.4600000000000014E-002</t>
  </si>
  <si>
    <t xml:space="preserve"> 2.9181521868988671E+000</t>
  </si>
  <si>
    <t xml:space="preserve"> 2.5600000000000015E-002</t>
  </si>
  <si>
    <t xml:space="preserve"> 2.8749970229399961E+000</t>
  </si>
  <si>
    <t xml:space="preserve"> 2.6600000000000016E-002</t>
  </si>
  <si>
    <t xml:space="preserve"> 2.8324800601635984E+000</t>
  </si>
  <si>
    <t xml:space="preserve"> 2.7600000000000017E-002</t>
  </si>
  <si>
    <t xml:space="preserve"> 2.7905918605161038E+000</t>
  </si>
  <si>
    <t xml:space="preserve"> 2.8600000000000018E-002</t>
  </si>
  <si>
    <t xml:space="preserve"> 2.7493231255188233E+000</t>
  </si>
  <si>
    <t xml:space="preserve"> 2.9600000000000019E-002</t>
  </si>
  <si>
    <t xml:space="preserve"> 2.7086646942038453E+000</t>
  </si>
  <si>
    <t xml:space="preserve"> 3.0600000000000020E-002</t>
  </si>
  <si>
    <t xml:space="preserve"> 2.6686075410804526E+000</t>
  </si>
  <si>
    <t xml:space="preserve"> 3.1600000000000017E-002</t>
  </si>
  <si>
    <t xml:space="preserve"> 2.6291427741316142E+000</t>
  </si>
  <si>
    <t xml:space="preserve"> 3.2600000000000018E-002</t>
  </si>
  <si>
    <t xml:space="preserve"> 2.5902616328401091E+000</t>
  </si>
  <si>
    <t xml:space="preserve"> 3.3600000000000019E-002</t>
  </si>
  <si>
    <t xml:space="preserve"> 2.5519554862438345E+000</t>
  </si>
  <si>
    <t xml:space="preserve"> 3.4600000000000020E-002</t>
  </si>
  <si>
    <t xml:space="preserve"> 2.5142158310198797E+000</t>
  </si>
  <si>
    <t xml:space="preserve"> 3.5600000000000021E-002</t>
  </si>
  <si>
    <t xml:space="preserve"> 2.4770342895969302E+000</t>
  </si>
  <si>
    <t xml:space="preserve"> 3.6600000000000021E-002</t>
  </si>
  <si>
    <t xml:space="preserve"> 2.4404026082955856E+000</t>
  </si>
  <si>
    <t xml:space="preserve"> 3.7600000000000022E-002</t>
  </si>
  <si>
    <t xml:space="preserve"> 2.4043126554961836E+000</t>
  </si>
  <si>
    <t xml:space="preserve"> 3.8600000000000023E-002</t>
  </si>
  <si>
    <t xml:space="preserve"> 2.3687564198337139E+000</t>
  </si>
  <si>
    <t xml:space="preserve"> 3.9600000000000024E-002</t>
  </si>
  <si>
    <t xml:space="preserve"> 2.3337260084194322E+000</t>
  </si>
  <si>
    <t xml:space="preserve"> 4.0600000000000025E-002</t>
  </si>
  <si>
    <t xml:space="preserve"> 2.2992136450887690E+000</t>
  </si>
  <si>
    <t xml:space="preserve"> 4.1600000000000026E-002</t>
  </si>
  <si>
    <t xml:space="preserve"> 2.2652116686751520E+000</t>
  </si>
  <si>
    <t xml:space="preserve"> 4.2600000000000027E-002</t>
  </si>
  <si>
    <t xml:space="preserve"> 2.2317125313093560E+000</t>
  </si>
  <si>
    <t xml:space="preserve"> 4.3600000000000028E-002</t>
  </si>
  <si>
    <t xml:space="preserve"> 2.1987087967440004E+000</t>
  </si>
  <si>
    <t xml:space="preserve"> 4.4600000000000029E-002</t>
  </si>
  <si>
    <t xml:space="preserve"> 2.1661931387028290E+000</t>
  </si>
  <si>
    <t xml:space="preserve"> 4.5600000000000029E-002</t>
  </si>
  <si>
    <t xml:space="preserve"> 2.1341583392543995E+000</t>
  </si>
  <si>
    <t xml:space="preserve"> 4.6600000000000030E-002</t>
  </si>
  <si>
    <t xml:space="preserve"> 2.1025972872098211E+000</t>
  </si>
  <si>
    <t xml:space="preserve"> 4.7600000000000031E-002</t>
  </si>
  <si>
    <t xml:space="preserve"> 2.0715029765441924E+000</t>
  </si>
  <si>
    <t xml:space="preserve"> 4.8600000000000032E-002</t>
  </si>
  <si>
    <t xml:space="preserve"> 2.0408685048413804E+000</t>
  </si>
  <si>
    <t xml:space="preserve"> 4.9600000000000033E-002</t>
  </si>
  <si>
    <t xml:space="preserve"> 2.0106870717617977E+000</t>
  </si>
  <si>
    <t xml:space="preserve"> 5.0600000000000034E-002</t>
  </si>
  <si>
    <t xml:space="preserve"> 1.9809519775328446E+000</t>
  </si>
  <si>
    <t xml:space="preserve"> 5.1600000000000035E-002</t>
  </si>
  <si>
    <t xml:space="preserve"> 1.9516566214616697E+000</t>
  </si>
  <si>
    <t xml:space="preserve"> 5.2600000000000036E-002</t>
  </si>
  <si>
    <t xml:space="preserve"> 1.9227945004699272E+000</t>
  </si>
  <si>
    <t xml:space="preserve"> 5.3600000000000037E-002</t>
  </si>
  <si>
    <t xml:space="preserve"> 1.8943592076502005E+000</t>
  </si>
  <si>
    <t xml:space="preserve"> 5.4600000000000037E-002</t>
  </si>
  <si>
    <t xml:space="preserve"> 1.8663444308437793E+000</t>
  </si>
  <si>
    <t xml:space="preserve"> 5.5600000000000038E-002</t>
  </si>
  <si>
    <t xml:space="preserve"> 1.8387439512394643E+000</t>
  </si>
  <si>
    <t xml:space="preserve"> 5.6600000000000039E-002</t>
  </si>
  <si>
    <t xml:space="preserve"> 1.8115516419930955E+000</t>
  </si>
  <si>
    <t xml:space="preserve"> 5.7600000000000040E-002</t>
  </si>
  <si>
    <t xml:space="preserve"> 1.7847614668674956E+000</t>
  </si>
  <si>
    <t xml:space="preserve"> 5.8600000000000041E-002</t>
  </si>
  <si>
    <t xml:space="preserve"> 1.7583674788925252E+000</t>
  </si>
  <si>
    <t xml:space="preserve"> 5.9600000000000042E-002</t>
  </si>
  <si>
    <t xml:space="preserve"> 1.7323638190449577E+000</t>
  </si>
  <si>
    <t xml:space="preserve"> 6.0600000000000043E-002</t>
  </si>
  <si>
    <t xml:space="preserve"> 1.7067447149478718E+000</t>
  </si>
  <si>
    <t xml:space="preserve"> 6.1600000000000044E-002</t>
  </si>
  <si>
    <t xml:space="preserve"> 1.6815044795892817E+000</t>
  </si>
  <si>
    <t xml:space="preserve"> 6.2600000000000044E-002</t>
  </si>
  <si>
    <t xml:space="preserve"> 1.6566375100597155E+000</t>
  </si>
  <si>
    <t xml:space="preserve"> 6.3600000000000045E-002</t>
  </si>
  <si>
    <t xml:space="preserve"> 1.6321382863084626E+000</t>
  </si>
  <si>
    <t xml:space="preserve"> 6.4600000000000046E-002</t>
  </si>
  <si>
    <t xml:space="preserve"> 1.6080013699182161E+000</t>
  </si>
  <si>
    <t xml:space="preserve"> 6.5600000000000047E-002</t>
  </si>
  <si>
    <t xml:space="preserve"> 1.5842214028978341E+000</t>
  </si>
  <si>
    <t xml:space="preserve"> 6.6600000000000048E-002</t>
  </si>
  <si>
    <t xml:space="preserve"> 1.5607931064929563E+000</t>
  </si>
  <si>
    <t xml:space="preserve"> 6.7600000000000049E-002</t>
  </si>
  <si>
    <t xml:space="preserve"> 1.5377112800142081E+000</t>
  </si>
  <si>
    <t xml:space="preserve"> 6.8600000000000050E-002</t>
  </si>
  <si>
    <t xml:space="preserve"> 1.5149707996827348E+000</t>
  </si>
  <si>
    <t xml:space="preserve"> 6.9600000000000051E-002</t>
  </si>
  <si>
    <t xml:space="preserve"> 1.4925666174928094E+000</t>
  </si>
  <si>
    <t xml:space="preserve"> 7.0600000000000052E-002</t>
  </si>
  <si>
    <t xml:space="preserve"> 1.4704937600912593E+000</t>
  </si>
  <si>
    <t xml:space="preserve"> 7.1600000000000052E-002</t>
  </si>
  <si>
    <t xml:space="preserve"> 1.4487473276734648E+000</t>
  </si>
  <si>
    <t xml:space="preserve"> 7.2600000000000053E-002</t>
  </si>
  <si>
    <t xml:space="preserve"> 1.4273224928956851E+000</t>
  </si>
  <si>
    <t xml:space="preserve"> 7.3600000000000054E-002</t>
  </si>
  <si>
    <t xml:space="preserve"> 1.4062144998034687E+000</t>
  </si>
  <si>
    <t xml:space="preserve"> 7.4600000000000055E-002</t>
  </si>
  <si>
    <t xml:space="preserve"> 1.3854186627759109E+000</t>
  </si>
  <si>
    <t xml:space="preserve"> 7.5600000000000056E-002</t>
  </si>
  <si>
    <t xml:space="preserve"> 1.3649303654855247E+000</t>
  </si>
  <si>
    <t xml:space="preserve"> 7.6600000000000057E-002</t>
  </si>
  <si>
    <t xml:space="preserve"> 1.3447450598734938E+000</t>
  </si>
  <si>
    <t xml:space="preserve"> 7.7600000000000058E-002</t>
  </si>
  <si>
    <t xml:space="preserve"> 1.3248582651400793E+000</t>
  </si>
  <si>
    <t xml:space="preserve"> 7.8600000000000059E-002</t>
  </si>
  <si>
    <t xml:space="preserve"> 1.3052655667499569E+000</t>
  </si>
  <si>
    <t xml:space="preserve"> 7.9600000000000060E-002</t>
  </si>
  <si>
    <t xml:space="preserve"> 1.2859626154522645E+000</t>
  </si>
  <si>
    <t xml:space="preserve"> 8.0600000000000060E-002</t>
  </si>
  <si>
    <t xml:space="preserve"> 1.2669451263151414E+000</t>
  </si>
  <si>
    <t xml:space="preserve"> 8.1600000000000061E-002</t>
  </si>
  <si>
    <t xml:space="preserve"> 1.2482088777745450E+000</t>
  </si>
  <si>
    <t xml:space="preserve"> 8.2600000000000062E-002</t>
  </si>
  <si>
    <t xml:space="preserve"> 1.2297497106971340E+000</t>
  </si>
  <si>
    <t xml:space="preserve"> 8.3600000000000063E-002</t>
  </si>
  <si>
    <t xml:space="preserve"> 1.2115635274570109E+000</t>
  </si>
  <si>
    <t xml:space="preserve"> 8.4600000000000064E-002</t>
  </si>
  <si>
    <t xml:space="preserve"> 1.1936462910261179E+000</t>
  </si>
  <si>
    <t xml:space="preserve"> 8.5600000000000065E-002</t>
  </si>
  <si>
    <t xml:space="preserve"> 1.1759940240780833E+000</t>
  </si>
  <si>
    <t xml:space="preserve"> 8.6600000000000066E-002</t>
  </si>
  <si>
    <t xml:space="preserve"> 1.1586028081053226E+000</t>
  </si>
  <si>
    <t xml:space="preserve"> 8.7600000000000067E-002</t>
  </si>
  <si>
    <t xml:space="preserve"> 1.1414687825491951E+000</t>
  </si>
  <si>
    <t xml:space="preserve"> 8.8600000000000068E-002</t>
  </si>
  <si>
    <t xml:space="preserve"> 1.1245881439430254E+000</t>
  </si>
  <si>
    <t xml:space="preserve"> 8.9600000000000068E-002</t>
  </si>
  <si>
    <t xml:space="preserve"> 1.1079571450677959E+000</t>
  </si>
  <si>
    <t xml:space="preserve"> 9.0600000000000069E-002</t>
  </si>
  <si>
    <t xml:space="preserve"> 1.0915720941203277E+000</t>
  </si>
  <si>
    <t xml:space="preserve"> 9.1600000000000070E-002</t>
  </si>
  <si>
    <t xml:space="preserve"> 1.0754293538937627E+000</t>
  </si>
  <si>
    <t xml:space="preserve"> 9.2600000000000071E-002</t>
  </si>
  <si>
    <t xml:space="preserve"> 1.0595253409701637E+000</t>
  </si>
  <si>
    <t xml:space="preserve"> 9.3600000000000072E-002</t>
  </si>
  <si>
    <t xml:space="preserve"> 1.0438565249250562E+000</t>
  </si>
  <si>
    <t xml:space="preserve"> 9.4600000000000073E-002</t>
  </si>
  <si>
    <t xml:space="preserve"> 1.0284194275437333E+000</t>
  </si>
  <si>
    <t xml:space="preserve"> 9.5600000000000074E-002</t>
  </si>
  <si>
    <t xml:space="preserve"> 1.0132106220491499E+000</t>
  </si>
  <si>
    <t xml:space="preserve"> 9.6600000000000075E-002</t>
  </si>
  <si>
    <t xml:space="preserve"> 9.9822673234123582E-001</t>
  </si>
  <si>
    <t xml:space="preserve"> 9.7600000000000076E-002</t>
  </si>
  <si>
    <t xml:space="preserve"> 9.8346443224745839E-001</t>
  </si>
  <si>
    <t xml:space="preserve"> 9.8600000000000076E-002</t>
  </si>
  <si>
    <t xml:space="preserve"> 9.6892044478446726E-001</t>
  </si>
  <si>
    <t xml:space="preserve"> 9.9600000000000077E-002</t>
  </si>
  <si>
    <t xml:space="preserve"> 9.5459154143065961E-001</t>
  </si>
  <si>
    <t xml:space="preserve"> 1.0000000000000002E-001</t>
  </si>
  <si>
    <t xml:space="preserve"> 9.4891957742929001E-001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</si>
</sst>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NumberFormat="1"/>
    <xf numFmtId="2" fontId="0" fillId="2" borderId="7" xfId="0" applyNumberFormat="1" applyFont="1" applyFill="1" applyBorder="1"/>
    <xf numFmtId="2" fontId="0" fillId="2" borderId="8" xfId="0" applyNumberFormat="1" applyFont="1" applyFill="1" applyBorder="1"/>
    <xf numFmtId="2" fontId="0" fillId="0" borderId="7" xfId="0" applyNumberFormat="1" applyFont="1" applyBorder="1"/>
    <xf numFmtId="2" fontId="0" fillId="0" borderId="8" xfId="0" applyNumberFormat="1" applyFont="1" applyBorder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Экспериментальные данные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Лист1!$B$4:$K$4</c:f>
              <c:numCache>
                <c:formatCode>General</c:formatCode>
                <c:ptCount val="10"/>
                <c:pt idx="0">
                  <c:v>0.8</c:v>
                </c:pt>
                <c:pt idx="1">
                  <c:v>6.4</c:v>
                </c:pt>
                <c:pt idx="2">
                  <c:v>14.2</c:v>
                </c:pt>
                <c:pt idx="3">
                  <c:v>22.8</c:v>
                </c:pt>
                <c:pt idx="4">
                  <c:v>29.6</c:v>
                </c:pt>
                <c:pt idx="5">
                  <c:v>38.200000000000003</c:v>
                </c:pt>
                <c:pt idx="6">
                  <c:v>45.8</c:v>
                </c:pt>
                <c:pt idx="7">
                  <c:v>54.4</c:v>
                </c:pt>
                <c:pt idx="8">
                  <c:v>63</c:v>
                </c:pt>
                <c:pt idx="9">
                  <c:v>72</c:v>
                </c:pt>
              </c:numCache>
            </c:numRef>
          </c:xVal>
          <c:yVal>
            <c:numRef>
              <c:f>Лист1!$B$3:$K$3</c:f>
              <c:numCache>
                <c:formatCode>General</c:formatCode>
                <c:ptCount val="10"/>
                <c:pt idx="0">
                  <c:v>4.16</c:v>
                </c:pt>
                <c:pt idx="1">
                  <c:v>3.76</c:v>
                </c:pt>
                <c:pt idx="2">
                  <c:v>3.36</c:v>
                </c:pt>
                <c:pt idx="3">
                  <c:v>2.88</c:v>
                </c:pt>
                <c:pt idx="4">
                  <c:v>2.64</c:v>
                </c:pt>
                <c:pt idx="5">
                  <c:v>2.3199999999999998</c:v>
                </c:pt>
                <c:pt idx="6">
                  <c:v>2.08</c:v>
                </c:pt>
                <c:pt idx="7">
                  <c:v>1.84</c:v>
                </c:pt>
                <c:pt idx="8">
                  <c:v>1.6</c:v>
                </c:pt>
                <c:pt idx="9">
                  <c:v>1.44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6B-402B-8108-BA32E1BEFFAB}"/>
            </c:ext>
          </c:extLst>
        </c:ser>
        <c:ser>
          <c:idx val="1"/>
          <c:order val="1"/>
          <c:tx>
            <c:v>Теоретическая кривая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lgDash"/>
              </a:ln>
              <a:effectLst/>
            </c:spPr>
            <c:trendlineType val="exp"/>
            <c:dispRSqr val="0"/>
            <c:dispEq val="0"/>
          </c:trendline>
          <c:xVal>
            <c:numRef>
              <c:f>Лист1!$B$5:$FZ$5</c:f>
              <c:numCache>
                <c:formatCode>General</c:formatCode>
                <c:ptCount val="18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</c:numCache>
            </c:numRef>
          </c:xVal>
          <c:yVal>
            <c:numRef>
              <c:f>Лист1!$B$8:$FZ$8</c:f>
              <c:numCache>
                <c:formatCode>General</c:formatCode>
                <c:ptCount val="181"/>
                <c:pt idx="0">
                  <c:v>4.2098835372213133</c:v>
                </c:pt>
                <c:pt idx="1">
                  <c:v>4.1786366807209454</c:v>
                </c:pt>
                <c:pt idx="2">
                  <c:v>4.1476217465605938</c:v>
                </c:pt>
                <c:pt idx="3">
                  <c:v>4.116837013352006</c:v>
                </c:pt>
                <c:pt idx="4">
                  <c:v>4.0862807724835184</c:v>
                </c:pt>
                <c:pt idx="5">
                  <c:v>4.0559513280252322</c:v>
                </c:pt>
                <c:pt idx="6">
                  <c:v>4.0258469966348835</c:v>
                </c:pt>
                <c:pt idx="7">
                  <c:v>3.9959661074644157</c:v>
                </c:pt>
                <c:pt idx="8">
                  <c:v>3.9663070020672415</c:v>
                </c:pt>
                <c:pt idx="9">
                  <c:v>3.9368680343061988</c:v>
                </c:pt>
                <c:pt idx="10">
                  <c:v>3.9076475702621871</c:v>
                </c:pt>
                <c:pt idx="11">
                  <c:v>3.8786439881434789</c:v>
                </c:pt>
                <c:pt idx="12">
                  <c:v>3.8498556781957105</c:v>
                </c:pt>
                <c:pt idx="13">
                  <c:v>3.8212810426125348</c:v>
                </c:pt>
                <c:pt idx="14">
                  <c:v>3.7929184954469419</c:v>
                </c:pt>
                <c:pt idx="15">
                  <c:v>3.7647664625232355</c:v>
                </c:pt>
                <c:pt idx="16">
                  <c:v>3.7368233813496632</c:v>
                </c:pt>
                <c:pt idx="17">
                  <c:v>3.7090877010316929</c:v>
                </c:pt>
                <c:pt idx="18">
                  <c:v>3.6815578821859405</c:v>
                </c:pt>
                <c:pt idx="19">
                  <c:v>3.6542323968547259</c:v>
                </c:pt>
                <c:pt idx="20">
                  <c:v>3.6271097284212699</c:v>
                </c:pt>
                <c:pt idx="21">
                  <c:v>3.6001883715255221</c:v>
                </c:pt>
                <c:pt idx="22">
                  <c:v>3.5734668319806056</c:v>
                </c:pt>
                <c:pt idx="23">
                  <c:v>3.5469436266898904</c:v>
                </c:pt>
                <c:pt idx="24">
                  <c:v>3.5206172835646767</c:v>
                </c:pt>
                <c:pt idx="25">
                  <c:v>3.4944863414424936</c:v>
                </c:pt>
                <c:pt idx="26">
                  <c:v>3.4685493500059983</c:v>
                </c:pt>
                <c:pt idx="27">
                  <c:v>3.4428048697024844</c:v>
                </c:pt>
                <c:pt idx="28">
                  <c:v>3.4172514716639797</c:v>
                </c:pt>
                <c:pt idx="29">
                  <c:v>3.3918877376279464</c:v>
                </c:pt>
                <c:pt idx="30">
                  <c:v>3.3667122598585606</c:v>
                </c:pt>
                <c:pt idx="31">
                  <c:v>3.3417236410685813</c:v>
                </c:pt>
                <c:pt idx="32">
                  <c:v>3.3169204943418009</c:v>
                </c:pt>
                <c:pt idx="33">
                  <c:v>3.2923014430560644</c:v>
                </c:pt>
                <c:pt idx="34">
                  <c:v>3.2678651208068676</c:v>
                </c:pt>
                <c:pt idx="35">
                  <c:v>3.2436101713315177</c:v>
                </c:pt>
                <c:pt idx="36">
                  <c:v>3.2195352484338575</c:v>
                </c:pt>
                <c:pt idx="37">
                  <c:v>3.1956390159095514</c:v>
                </c:pt>
                <c:pt idx="38">
                  <c:v>3.1719201474719196</c:v>
                </c:pt>
                <c:pt idx="39">
                  <c:v>3.1483773266783306</c:v>
                </c:pt>
                <c:pt idx="40">
                  <c:v>3.1250092468571338</c:v>
                </c:pt>
                <c:pt idx="41">
                  <c:v>3.1018146110351363</c:v>
                </c:pt>
                <c:pt idx="42">
                  <c:v>3.0787921318656215</c:v>
                </c:pt>
                <c:pt idx="43">
                  <c:v>3.0559405315568955</c:v>
                </c:pt>
                <c:pt idx="44">
                  <c:v>3.0332585418013678</c:v>
                </c:pt>
                <c:pt idx="45">
                  <c:v>3.0107449037051599</c:v>
                </c:pt>
                <c:pt idx="46">
                  <c:v>2.9883983677182324</c:v>
                </c:pt>
                <c:pt idx="47">
                  <c:v>2.9662176935650324</c:v>
                </c:pt>
                <c:pt idx="48">
                  <c:v>2.9442016501756574</c:v>
                </c:pt>
                <c:pt idx="49">
                  <c:v>2.9223490156175269</c:v>
                </c:pt>
                <c:pt idx="50">
                  <c:v>2.9006585770275644</c:v>
                </c:pt>
                <c:pt idx="51">
                  <c:v>2.8791291305448796</c:v>
                </c:pt>
                <c:pt idx="52">
                  <c:v>2.8577594812439524</c:v>
                </c:pt>
                <c:pt idx="53">
                  <c:v>2.8365484430683128</c:v>
                </c:pt>
                <c:pt idx="54">
                  <c:v>2.815494838764713</c:v>
                </c:pt>
                <c:pt idx="55">
                  <c:v>2.794597499817784</c:v>
                </c:pt>
                <c:pt idx="56">
                  <c:v>2.7738552663851861</c:v>
                </c:pt>
                <c:pt idx="57">
                  <c:v>2.753266987233232</c:v>
                </c:pt>
                <c:pt idx="58">
                  <c:v>2.7328315196729913</c:v>
                </c:pt>
                <c:pt idx="59">
                  <c:v>2.7125477294968698</c:v>
                </c:pt>
                <c:pt idx="60">
                  <c:v>2.6924144909156587</c:v>
                </c:pt>
                <c:pt idx="61">
                  <c:v>2.6724306864960519</c:v>
                </c:pt>
                <c:pt idx="62">
                  <c:v>2.6525952070986243</c:v>
                </c:pt>
                <c:pt idx="63">
                  <c:v>2.6329069518162744</c:v>
                </c:pt>
                <c:pt idx="64">
                  <c:v>2.6133648279131205</c:v>
                </c:pt>
                <c:pt idx="65">
                  <c:v>2.5939677507638539</c:v>
                </c:pt>
                <c:pt idx="66">
                  <c:v>2.574714643793536</c:v>
                </c:pt>
                <c:pt idx="67">
                  <c:v>2.5556044384178516</c:v>
                </c:pt>
                <c:pt idx="68">
                  <c:v>2.5366360739837952</c:v>
                </c:pt>
                <c:pt idx="69">
                  <c:v>2.5178084977108077</c:v>
                </c:pt>
                <c:pt idx="70">
                  <c:v>2.4991206646323407</c:v>
                </c:pt>
                <c:pt idx="71">
                  <c:v>2.4805715375378621</c:v>
                </c:pt>
                <c:pt idx="72">
                  <c:v>2.4621600869152864</c:v>
                </c:pt>
                <c:pt idx="73">
                  <c:v>2.4438852908938378</c:v>
                </c:pt>
                <c:pt idx="74">
                  <c:v>2.4257461351873295</c:v>
                </c:pt>
                <c:pt idx="75">
                  <c:v>2.4077416130378757</c:v>
                </c:pt>
                <c:pt idx="76">
                  <c:v>2.3898707251600091</c:v>
                </c:pt>
                <c:pt idx="77">
                  <c:v>2.3721324796852201</c:v>
                </c:pt>
                <c:pt idx="78">
                  <c:v>2.3545258921069063</c:v>
                </c:pt>
                <c:pt idx="79">
                  <c:v>2.3370499852257329</c:v>
                </c:pt>
                <c:pt idx="80">
                  <c:v>2.3197037890953909</c:v>
                </c:pt>
                <c:pt idx="81">
                  <c:v>2.3024863409687697</c:v>
                </c:pt>
                <c:pt idx="82">
                  <c:v>2.2853966852445176</c:v>
                </c:pt>
                <c:pt idx="83">
                  <c:v>2.2684338734140064</c:v>
                </c:pt>
                <c:pt idx="84">
                  <c:v>2.2515969640086868</c:v>
                </c:pt>
                <c:pt idx="85">
                  <c:v>2.2348850225478354</c:v>
                </c:pt>
                <c:pt idx="86">
                  <c:v>2.2182971214866893</c:v>
                </c:pt>
                <c:pt idx="87">
                  <c:v>2.2018323401649651</c:v>
                </c:pt>
                <c:pt idx="88">
                  <c:v>2.1854897647557614</c:v>
                </c:pt>
                <c:pt idx="89">
                  <c:v>2.1692684882148381</c:v>
                </c:pt>
                <c:pt idx="90">
                  <c:v>2.1531676102302755</c:v>
                </c:pt>
                <c:pt idx="91">
                  <c:v>2.1371862371725037</c:v>
                </c:pt>
                <c:pt idx="92">
                  <c:v>2.1213234820447049</c:v>
                </c:pt>
                <c:pt idx="93">
                  <c:v>2.1055784644335853</c:v>
                </c:pt>
                <c:pt idx="94">
                  <c:v>2.0899503104605071</c:v>
                </c:pt>
                <c:pt idx="95">
                  <c:v>2.0744381527329887</c:v>
                </c:pt>
                <c:pt idx="96">
                  <c:v>2.059041130296563</c:v>
                </c:pt>
                <c:pt idx="97">
                  <c:v>2.0437583885869905</c:v>
                </c:pt>
                <c:pt idx="98">
                  <c:v>2.0285890793828334</c:v>
                </c:pt>
                <c:pt idx="99">
                  <c:v>2.0135323607583731</c:v>
                </c:pt>
                <c:pt idx="100">
                  <c:v>1.9985873970368842</c:v>
                </c:pt>
                <c:pt idx="101">
                  <c:v>1.9837533587442535</c:v>
                </c:pt>
                <c:pt idx="102">
                  <c:v>1.969029422562941</c:v>
                </c:pt>
                <c:pt idx="103">
                  <c:v>1.9544147712862843</c:v>
                </c:pt>
                <c:pt idx="104">
                  <c:v>1.9399085937731433</c:v>
                </c:pt>
                <c:pt idx="105">
                  <c:v>1.9255100849028788</c:v>
                </c:pt>
                <c:pt idx="106">
                  <c:v>1.9112184455306684</c:v>
                </c:pt>
                <c:pt idx="107">
                  <c:v>1.8970328824431513</c:v>
                </c:pt>
                <c:pt idx="108">
                  <c:v>1.8829526083144026</c:v>
                </c:pt>
                <c:pt idx="109">
                  <c:v>1.8689768416622381</c:v>
                </c:pt>
                <c:pt idx="110">
                  <c:v>1.8551048068048375</c:v>
                </c:pt>
                <c:pt idx="111">
                  <c:v>1.8413357338176937</c:v>
                </c:pt>
                <c:pt idx="112">
                  <c:v>1.8276688584908818</c:v>
                </c:pt>
                <c:pt idx="113">
                  <c:v>1.8141034222866417</c:v>
                </c:pt>
                <c:pt idx="114">
                  <c:v>1.8006386722972794</c:v>
                </c:pt>
                <c:pt idx="115">
                  <c:v>1.7872738612033781</c:v>
                </c:pt>
                <c:pt idx="116">
                  <c:v>1.7740082472323224</c:v>
                </c:pt>
                <c:pt idx="117">
                  <c:v>1.7608410941171257</c:v>
                </c:pt>
                <c:pt idx="118">
                  <c:v>1.7477716710555689</c:v>
                </c:pt>
                <c:pt idx="119">
                  <c:v>1.7347992526696365</c:v>
                </c:pt>
                <c:pt idx="120">
                  <c:v>1.7219231189652604</c:v>
                </c:pt>
                <c:pt idx="121">
                  <c:v>1.7091425552923547</c:v>
                </c:pt>
                <c:pt idx="122">
                  <c:v>1.6964568523051544</c:v>
                </c:pt>
                <c:pt idx="123">
                  <c:v>1.6838653059228443</c:v>
                </c:pt>
                <c:pt idx="124">
                  <c:v>1.671367217290481</c:v>
                </c:pt>
                <c:pt idx="125">
                  <c:v>1.6589618927402048</c:v>
                </c:pt>
                <c:pt idx="126">
                  <c:v>1.6466486437527406</c:v>
                </c:pt>
                <c:pt idx="127">
                  <c:v>1.6344267869191833</c:v>
                </c:pt>
                <c:pt idx="128">
                  <c:v>1.6222956439030678</c:v>
                </c:pt>
                <c:pt idx="129">
                  <c:v>1.6102545414027194</c:v>
                </c:pt>
                <c:pt idx="130">
                  <c:v>1.5983028111138839</c:v>
                </c:pt>
                <c:pt idx="131">
                  <c:v>1.5864397896926372</c:v>
                </c:pt>
                <c:pt idx="132">
                  <c:v>1.5746648187185661</c:v>
                </c:pt>
                <c:pt idx="133">
                  <c:v>1.5629772446582268</c:v>
                </c:pt>
                <c:pt idx="134">
                  <c:v>1.551376418828871</c:v>
                </c:pt>
                <c:pt idx="135">
                  <c:v>1.5398616973624437</c:v>
                </c:pt>
                <c:pt idx="136">
                  <c:v>1.5284324411698471</c:v>
                </c:pt>
                <c:pt idx="137">
                  <c:v>1.5170880159054689</c:v>
                </c:pt>
                <c:pt idx="138">
                  <c:v>1.5058277919319778</c:v>
                </c:pt>
                <c:pt idx="139">
                  <c:v>1.4946511442853727</c:v>
                </c:pt>
                <c:pt idx="140">
                  <c:v>1.4835574526403015</c:v>
                </c:pt>
                <c:pt idx="141">
                  <c:v>1.4725461012756265</c:v>
                </c:pt>
                <c:pt idx="142">
                  <c:v>1.4616164790402557</c:v>
                </c:pt>
                <c:pt idx="143">
                  <c:v>1.4507679793192183</c:v>
                </c:pt>
                <c:pt idx="144">
                  <c:v>1.44</c:v>
                </c:pt>
                <c:pt idx="145">
                  <c:v>1.4293119434391219</c:v>
                </c:pt>
                <c:pt idx="146">
                  <c:v>1.4187032164289723</c:v>
                </c:pt>
                <c:pt idx="147">
                  <c:v>1.4081732301648804</c:v>
                </c:pt>
                <c:pt idx="148">
                  <c:v>1.3977214002124383</c:v>
                </c:pt>
                <c:pt idx="149">
                  <c:v>1.3873471464750631</c:v>
                </c:pt>
                <c:pt idx="150">
                  <c:v>1.3770498931618007</c:v>
                </c:pt>
                <c:pt idx="151">
                  <c:v>1.366829068755367</c:v>
                </c:pt>
                <c:pt idx="152">
                  <c:v>1.35668410598043</c:v>
                </c:pt>
                <c:pt idx="153">
                  <c:v>1.3466144417721222</c:v>
                </c:pt>
                <c:pt idx="154">
                  <c:v>1.3366195172447921</c:v>
                </c:pt>
                <c:pt idx="155">
                  <c:v>1.3266987776609824</c:v>
                </c:pt>
                <c:pt idx="156">
                  <c:v>1.3168516724006436</c:v>
                </c:pt>
                <c:pt idx="157">
                  <c:v>1.3070776549305705</c:v>
                </c:pt>
                <c:pt idx="158">
                  <c:v>1.2973761827740722</c:v>
                </c:pt>
                <c:pt idx="159">
                  <c:v>1.2877467174808603</c:v>
                </c:pt>
                <c:pt idx="160">
                  <c:v>1.2781887245971657</c:v>
                </c:pt>
                <c:pt idx="161">
                  <c:v>1.2687016736360746</c:v>
                </c:pt>
                <c:pt idx="162">
                  <c:v>1.2592850380480864</c:v>
                </c:pt>
                <c:pt idx="163">
                  <c:v>1.2499382951918883</c:v>
                </c:pt>
                <c:pt idx="164">
                  <c:v>1.2406609263053479</c:v>
                </c:pt>
                <c:pt idx="165">
                  <c:v>1.2314524164767209</c:v>
                </c:pt>
                <c:pt idx="166">
                  <c:v>1.2223122546160732</c:v>
                </c:pt>
                <c:pt idx="167">
                  <c:v>1.2132399334269126</c:v>
                </c:pt>
                <c:pt idx="168">
                  <c:v>1.204234949378036</c:v>
                </c:pt>
                <c:pt idx="169">
                  <c:v>1.1952968026755784</c:v>
                </c:pt>
                <c:pt idx="170">
                  <c:v>1.1864249972352778</c:v>
                </c:pt>
                <c:pt idx="171">
                  <c:v>1.1776190406549374</c:v>
                </c:pt>
                <c:pt idx="172">
                  <c:v>1.1688784441870994</c:v>
                </c:pt>
                <c:pt idx="173">
                  <c:v>1.1602027227119167</c:v>
                </c:pt>
                <c:pt idx="174">
                  <c:v>1.1515913947102296</c:v>
                </c:pt>
                <c:pt idx="175">
                  <c:v>1.1430439822368383</c:v>
                </c:pt>
                <c:pt idx="176">
                  <c:v>1.1345600108939786</c:v>
                </c:pt>
                <c:pt idx="177">
                  <c:v>1.1261390098049886</c:v>
                </c:pt>
                <c:pt idx="178">
                  <c:v>1.1177805115881785</c:v>
                </c:pt>
                <c:pt idx="179">
                  <c:v>1.1094840523308855</c:v>
                </c:pt>
                <c:pt idx="180">
                  <c:v>1.1012491715637298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6B-402B-8108-BA32E1BEFFAB}"/>
            </c:ext>
          </c:extLst>
        </c:ser>
        <c:ser>
          <c:idx val="2"/>
          <c:order val="2"/>
          <c:tx>
            <c:v>Micro-Cap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lgDashDot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Лист1!$A$10:$A$114</c:f>
              <c:numCache>
                <c:formatCode>0.00</c:formatCode>
                <c:ptCount val="10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  <c:pt idx="5">
                  <c:v>1.6</c:v>
                </c:pt>
                <c:pt idx="6">
                  <c:v>2.5999999999999899</c:v>
                </c:pt>
                <c:pt idx="7">
                  <c:v>3.5999999999999899</c:v>
                </c:pt>
                <c:pt idx="8">
                  <c:v>4.5999999999999908</c:v>
                </c:pt>
                <c:pt idx="9">
                  <c:v>5.5999999999999908</c:v>
                </c:pt>
                <c:pt idx="10">
                  <c:v>6.6</c:v>
                </c:pt>
                <c:pt idx="11">
                  <c:v>7.6</c:v>
                </c:pt>
                <c:pt idx="12">
                  <c:v>8.6</c:v>
                </c:pt>
                <c:pt idx="13">
                  <c:v>9.6</c:v>
                </c:pt>
                <c:pt idx="14">
                  <c:v>10.6</c:v>
                </c:pt>
                <c:pt idx="15">
                  <c:v>11.6</c:v>
                </c:pt>
                <c:pt idx="16">
                  <c:v>12.6</c:v>
                </c:pt>
                <c:pt idx="17">
                  <c:v>13.6</c:v>
                </c:pt>
                <c:pt idx="18">
                  <c:v>14.6</c:v>
                </c:pt>
                <c:pt idx="19">
                  <c:v>15.6</c:v>
                </c:pt>
                <c:pt idx="20">
                  <c:v>16.600000000000001</c:v>
                </c:pt>
                <c:pt idx="21">
                  <c:v>17.600000000000001</c:v>
                </c:pt>
                <c:pt idx="22">
                  <c:v>18.599999999999998</c:v>
                </c:pt>
                <c:pt idx="23">
                  <c:v>19.599999999999998</c:v>
                </c:pt>
                <c:pt idx="24">
                  <c:v>20.6</c:v>
                </c:pt>
                <c:pt idx="25">
                  <c:v>21.6</c:v>
                </c:pt>
                <c:pt idx="26">
                  <c:v>22.599999999999998</c:v>
                </c:pt>
                <c:pt idx="27">
                  <c:v>23.599999999999998</c:v>
                </c:pt>
                <c:pt idx="28">
                  <c:v>24.6</c:v>
                </c:pt>
                <c:pt idx="29">
                  <c:v>25.6</c:v>
                </c:pt>
                <c:pt idx="30">
                  <c:v>26.599999999999998</c:v>
                </c:pt>
                <c:pt idx="31">
                  <c:v>27.599999999999998</c:v>
                </c:pt>
                <c:pt idx="32">
                  <c:v>28.6</c:v>
                </c:pt>
                <c:pt idx="33">
                  <c:v>29.6</c:v>
                </c:pt>
                <c:pt idx="34">
                  <c:v>30.599999999999998</c:v>
                </c:pt>
                <c:pt idx="35">
                  <c:v>31.6</c:v>
                </c:pt>
                <c:pt idx="36">
                  <c:v>32.599999999999994</c:v>
                </c:pt>
                <c:pt idx="37">
                  <c:v>33.6</c:v>
                </c:pt>
                <c:pt idx="38">
                  <c:v>34.6</c:v>
                </c:pt>
                <c:pt idx="39">
                  <c:v>35.6</c:v>
                </c:pt>
                <c:pt idx="40">
                  <c:v>36.6</c:v>
                </c:pt>
                <c:pt idx="41">
                  <c:v>37.6</c:v>
                </c:pt>
                <c:pt idx="42">
                  <c:v>38.6</c:v>
                </c:pt>
                <c:pt idx="43">
                  <c:v>39.6</c:v>
                </c:pt>
                <c:pt idx="44">
                  <c:v>40.599999999999994</c:v>
                </c:pt>
                <c:pt idx="45">
                  <c:v>41.6</c:v>
                </c:pt>
                <c:pt idx="46">
                  <c:v>42.6</c:v>
                </c:pt>
                <c:pt idx="47">
                  <c:v>43.6</c:v>
                </c:pt>
                <c:pt idx="48">
                  <c:v>44.6</c:v>
                </c:pt>
                <c:pt idx="49">
                  <c:v>45.6</c:v>
                </c:pt>
                <c:pt idx="50">
                  <c:v>46.6</c:v>
                </c:pt>
                <c:pt idx="51">
                  <c:v>47.6</c:v>
                </c:pt>
                <c:pt idx="52">
                  <c:v>48.599999999999994</c:v>
                </c:pt>
                <c:pt idx="53">
                  <c:v>49.6</c:v>
                </c:pt>
                <c:pt idx="54">
                  <c:v>50.6</c:v>
                </c:pt>
                <c:pt idx="55">
                  <c:v>51.6</c:v>
                </c:pt>
                <c:pt idx="56">
                  <c:v>52.6</c:v>
                </c:pt>
                <c:pt idx="57">
                  <c:v>53.6</c:v>
                </c:pt>
                <c:pt idx="58">
                  <c:v>54.6</c:v>
                </c:pt>
                <c:pt idx="59">
                  <c:v>55.599999999999994</c:v>
                </c:pt>
                <c:pt idx="60">
                  <c:v>56.599999999999994</c:v>
                </c:pt>
                <c:pt idx="61">
                  <c:v>57.6</c:v>
                </c:pt>
                <c:pt idx="62">
                  <c:v>58.6</c:v>
                </c:pt>
                <c:pt idx="63">
                  <c:v>59.6</c:v>
                </c:pt>
                <c:pt idx="64">
                  <c:v>60.6</c:v>
                </c:pt>
                <c:pt idx="65">
                  <c:v>61.6</c:v>
                </c:pt>
                <c:pt idx="66">
                  <c:v>62.6</c:v>
                </c:pt>
                <c:pt idx="67">
                  <c:v>63.6</c:v>
                </c:pt>
                <c:pt idx="68">
                  <c:v>64.600000000000009</c:v>
                </c:pt>
                <c:pt idx="69">
                  <c:v>65.600000000000009</c:v>
                </c:pt>
                <c:pt idx="70">
                  <c:v>66.600000000000009</c:v>
                </c:pt>
                <c:pt idx="71">
                  <c:v>67.599999999999994</c:v>
                </c:pt>
                <c:pt idx="72">
                  <c:v>68.599999999999994</c:v>
                </c:pt>
                <c:pt idx="73">
                  <c:v>69.599999999999994</c:v>
                </c:pt>
                <c:pt idx="74">
                  <c:v>70.599999999999994</c:v>
                </c:pt>
                <c:pt idx="75">
                  <c:v>71.599999999999994</c:v>
                </c:pt>
                <c:pt idx="76">
                  <c:v>72.599999999999994</c:v>
                </c:pt>
                <c:pt idx="77">
                  <c:v>73.599999999999994</c:v>
                </c:pt>
                <c:pt idx="78">
                  <c:v>74.599999999999994</c:v>
                </c:pt>
                <c:pt idx="79">
                  <c:v>75.599999999999994</c:v>
                </c:pt>
                <c:pt idx="80">
                  <c:v>76.599999999999994</c:v>
                </c:pt>
                <c:pt idx="81">
                  <c:v>77.600000000000009</c:v>
                </c:pt>
                <c:pt idx="82">
                  <c:v>78.600000000000009</c:v>
                </c:pt>
                <c:pt idx="83">
                  <c:v>79.600000000000009</c:v>
                </c:pt>
                <c:pt idx="84">
                  <c:v>80.600000000000009</c:v>
                </c:pt>
                <c:pt idx="85">
                  <c:v>81.600000000000009</c:v>
                </c:pt>
                <c:pt idx="86">
                  <c:v>82.600000000000009</c:v>
                </c:pt>
                <c:pt idx="87">
                  <c:v>83.6</c:v>
                </c:pt>
                <c:pt idx="88">
                  <c:v>84.6</c:v>
                </c:pt>
                <c:pt idx="89">
                  <c:v>85.6</c:v>
                </c:pt>
                <c:pt idx="90">
                  <c:v>86.6</c:v>
                </c:pt>
                <c:pt idx="91">
                  <c:v>87.6</c:v>
                </c:pt>
                <c:pt idx="92">
                  <c:v>88.6</c:v>
                </c:pt>
                <c:pt idx="93">
                  <c:v>89.6</c:v>
                </c:pt>
                <c:pt idx="94">
                  <c:v>90.6</c:v>
                </c:pt>
                <c:pt idx="95">
                  <c:v>91.6</c:v>
                </c:pt>
                <c:pt idx="96">
                  <c:v>92.600000000000009</c:v>
                </c:pt>
                <c:pt idx="97">
                  <c:v>93.600000000000009</c:v>
                </c:pt>
                <c:pt idx="98">
                  <c:v>94.600000000000009</c:v>
                </c:pt>
                <c:pt idx="99">
                  <c:v>95.600000000000009</c:v>
                </c:pt>
                <c:pt idx="100">
                  <c:v>96.600000000000009</c:v>
                </c:pt>
                <c:pt idx="101">
                  <c:v>97.600000000000009</c:v>
                </c:pt>
                <c:pt idx="102">
                  <c:v>98.6</c:v>
                </c:pt>
                <c:pt idx="103">
                  <c:v>99.6</c:v>
                </c:pt>
                <c:pt idx="104">
                  <c:v>100</c:v>
                </c:pt>
              </c:numCache>
            </c:numRef>
          </c:xVal>
          <c:yVal>
            <c:numRef>
              <c:f>Лист1!$B$10:$B$114</c:f>
              <c:numCache>
                <c:formatCode>0.00</c:formatCode>
                <c:ptCount val="105"/>
                <c:pt idx="0">
                  <c:v>4.2099999372765202</c:v>
                </c:pt>
                <c:pt idx="1">
                  <c:v>4.2037369204105897</c:v>
                </c:pt>
                <c:pt idx="2">
                  <c:v>4.1974832207372597</c:v>
                </c:pt>
                <c:pt idx="3">
                  <c:v>4.1849944280543196</c:v>
                </c:pt>
                <c:pt idx="4">
                  <c:v>4.1601281510011203</c:v>
                </c:pt>
                <c:pt idx="5">
                  <c:v>4.1108375330982598</c:v>
                </c:pt>
                <c:pt idx="6">
                  <c:v>4.0500443131470902</c:v>
                </c:pt>
                <c:pt idx="7">
                  <c:v>3.9901501351945998</c:v>
                </c:pt>
                <c:pt idx="8">
                  <c:v>3.9311417037365302</c:v>
                </c:pt>
                <c:pt idx="9">
                  <c:v>3.8730059198895002</c:v>
                </c:pt>
                <c:pt idx="10">
                  <c:v>3.8157298784832698</c:v>
                </c:pt>
                <c:pt idx="11">
                  <c:v>3.7593008651960198</c:v>
                </c:pt>
                <c:pt idx="12">
                  <c:v>3.7037063537320201</c:v>
                </c:pt>
                <c:pt idx="13">
                  <c:v>3.6489340030409201</c:v>
                </c:pt>
                <c:pt idx="14">
                  <c:v>3.5949716545783201</c:v>
                </c:pt>
                <c:pt idx="15">
                  <c:v>3.5418073296067401</c:v>
                </c:pt>
                <c:pt idx="16">
                  <c:v>3.4894292265365499</c:v>
                </c:pt>
                <c:pt idx="17">
                  <c:v>3.4378257183061902</c:v>
                </c:pt>
                <c:pt idx="18">
                  <c:v>3.3869853498012201</c:v>
                </c:pt>
                <c:pt idx="19">
                  <c:v>3.3368968353114101</c:v>
                </c:pt>
                <c:pt idx="20">
                  <c:v>3.2875490560255201</c:v>
                </c:pt>
                <c:pt idx="21">
                  <c:v>3.2389310575631498</c:v>
                </c:pt>
                <c:pt idx="22">
                  <c:v>3.1910320475429899</c:v>
                </c:pt>
                <c:pt idx="23">
                  <c:v>3.1438413931871398</c:v>
                </c:pt>
                <c:pt idx="24">
                  <c:v>3.09734861896077</c:v>
                </c:pt>
                <c:pt idx="25">
                  <c:v>3.05154340424677</c:v>
                </c:pt>
                <c:pt idx="26">
                  <c:v>3.0064155810547102</c:v>
                </c:pt>
                <c:pt idx="27">
                  <c:v>2.9619551317637498</c:v>
                </c:pt>
                <c:pt idx="28">
                  <c:v>2.91815218689886</c:v>
                </c:pt>
                <c:pt idx="29">
                  <c:v>2.8749970229399899</c:v>
                </c:pt>
                <c:pt idx="30">
                  <c:v>2.83248006016359</c:v>
                </c:pt>
                <c:pt idx="31">
                  <c:v>2.7905918605161002</c:v>
                </c:pt>
                <c:pt idx="32">
                  <c:v>2.7493231255188202</c:v>
                </c:pt>
                <c:pt idx="33">
                  <c:v>2.7086646942038399</c:v>
                </c:pt>
                <c:pt idx="34">
                  <c:v>2.66860754108045</c:v>
                </c:pt>
                <c:pt idx="35">
                  <c:v>2.6291427741316098</c:v>
                </c:pt>
                <c:pt idx="36">
                  <c:v>2.5902616328400998</c:v>
                </c:pt>
                <c:pt idx="37">
                  <c:v>2.5519554862438301</c:v>
                </c:pt>
                <c:pt idx="38">
                  <c:v>2.5142158310198699</c:v>
                </c:pt>
                <c:pt idx="39">
                  <c:v>2.4770342895969302</c:v>
                </c:pt>
                <c:pt idx="40">
                  <c:v>2.4404026082955799</c:v>
                </c:pt>
                <c:pt idx="41">
                  <c:v>2.40431265549618</c:v>
                </c:pt>
                <c:pt idx="42">
                  <c:v>2.3687564198337099</c:v>
                </c:pt>
                <c:pt idx="43">
                  <c:v>2.33372600841943</c:v>
                </c:pt>
                <c:pt idx="44">
                  <c:v>2.2992136450887601</c:v>
                </c:pt>
                <c:pt idx="45">
                  <c:v>2.2652116686751498</c:v>
                </c:pt>
                <c:pt idx="46">
                  <c:v>2.2317125313093502</c:v>
                </c:pt>
                <c:pt idx="47">
                  <c:v>2.198708796744</c:v>
                </c:pt>
                <c:pt idx="48">
                  <c:v>2.1661931387028202</c:v>
                </c:pt>
                <c:pt idx="49">
                  <c:v>2.1341583392543901</c:v>
                </c:pt>
                <c:pt idx="50">
                  <c:v>2.1025972872098202</c:v>
                </c:pt>
                <c:pt idx="51">
                  <c:v>2.0715029765441901</c:v>
                </c:pt>
                <c:pt idx="52">
                  <c:v>2.0408685048413799</c:v>
                </c:pt>
                <c:pt idx="53">
                  <c:v>2.0106870717617902</c:v>
                </c:pt>
                <c:pt idx="54">
                  <c:v>1.9809519775328399</c:v>
                </c:pt>
                <c:pt idx="55">
                  <c:v>1.95165662146166</c:v>
                </c:pt>
                <c:pt idx="56">
                  <c:v>1.9227945004699201</c:v>
                </c:pt>
                <c:pt idx="57">
                  <c:v>1.8943592076502</c:v>
                </c:pt>
                <c:pt idx="58">
                  <c:v>1.86634443084377</c:v>
                </c:pt>
                <c:pt idx="59">
                  <c:v>1.8387439512394601</c:v>
                </c:pt>
                <c:pt idx="60">
                  <c:v>1.8115516419930899</c:v>
                </c:pt>
                <c:pt idx="61">
                  <c:v>1.78476146686749</c:v>
                </c:pt>
                <c:pt idx="62">
                  <c:v>1.7583674788925201</c:v>
                </c:pt>
                <c:pt idx="63">
                  <c:v>1.73236381904495</c:v>
                </c:pt>
                <c:pt idx="64">
                  <c:v>1.7067447149478701</c:v>
                </c:pt>
                <c:pt idx="65">
                  <c:v>1.68150447958928</c:v>
                </c:pt>
                <c:pt idx="66">
                  <c:v>1.6566375100597099</c:v>
                </c:pt>
                <c:pt idx="67">
                  <c:v>1.6321382863084599</c:v>
                </c:pt>
                <c:pt idx="68">
                  <c:v>1.6080013699182101</c:v>
                </c:pt>
                <c:pt idx="69">
                  <c:v>1.5842214028978301</c:v>
                </c:pt>
                <c:pt idx="70">
                  <c:v>1.5607931064929501</c:v>
                </c:pt>
                <c:pt idx="71">
                  <c:v>1.5377112800142001</c:v>
                </c:pt>
                <c:pt idx="72">
                  <c:v>1.51497079968273</c:v>
                </c:pt>
                <c:pt idx="73">
                  <c:v>1.4925666174928001</c:v>
                </c:pt>
                <c:pt idx="74">
                  <c:v>1.47049376009125</c:v>
                </c:pt>
                <c:pt idx="75">
                  <c:v>1.4487473276734599</c:v>
                </c:pt>
                <c:pt idx="76">
                  <c:v>1.42732249289568</c:v>
                </c:pt>
                <c:pt idx="77">
                  <c:v>1.40621449980346</c:v>
                </c:pt>
                <c:pt idx="78">
                  <c:v>1.38541866277591</c:v>
                </c:pt>
                <c:pt idx="79">
                  <c:v>1.36493036548552</c:v>
                </c:pt>
                <c:pt idx="80">
                  <c:v>1.34474505987349</c:v>
                </c:pt>
                <c:pt idx="81">
                  <c:v>1.32485826514007</c:v>
                </c:pt>
                <c:pt idx="82">
                  <c:v>1.30526556674995</c:v>
                </c:pt>
                <c:pt idx="83">
                  <c:v>1.2859626154522601</c:v>
                </c:pt>
                <c:pt idx="84">
                  <c:v>1.2669451263151399</c:v>
                </c:pt>
                <c:pt idx="85">
                  <c:v>1.2482088777745399</c:v>
                </c:pt>
                <c:pt idx="86">
                  <c:v>1.22974971069713</c:v>
                </c:pt>
                <c:pt idx="87">
                  <c:v>1.21156352745701</c:v>
                </c:pt>
                <c:pt idx="88">
                  <c:v>1.1936462910261101</c:v>
                </c:pt>
                <c:pt idx="89">
                  <c:v>1.17599402407808</c:v>
                </c:pt>
                <c:pt idx="90">
                  <c:v>1.1586028081053199</c:v>
                </c:pt>
                <c:pt idx="91">
                  <c:v>1.14146878254919</c:v>
                </c:pt>
                <c:pt idx="92">
                  <c:v>1.1245881439430201</c:v>
                </c:pt>
                <c:pt idx="93">
                  <c:v>1.1079571450677901</c:v>
                </c:pt>
                <c:pt idx="94">
                  <c:v>1.09157209412032</c:v>
                </c:pt>
                <c:pt idx="95">
                  <c:v>1.07542935389376</c:v>
                </c:pt>
                <c:pt idx="96">
                  <c:v>1.0595253409701599</c:v>
                </c:pt>
                <c:pt idx="97">
                  <c:v>1.04385652492505</c:v>
                </c:pt>
                <c:pt idx="98">
                  <c:v>1.0284194275437299</c:v>
                </c:pt>
                <c:pt idx="99">
                  <c:v>1.0132106220491399</c:v>
                </c:pt>
                <c:pt idx="100">
                  <c:v>0.99822673234123505</c:v>
                </c:pt>
                <c:pt idx="101">
                  <c:v>0.98346443224745805</c:v>
                </c:pt>
                <c:pt idx="102">
                  <c:v>0.96892044478446704</c:v>
                </c:pt>
                <c:pt idx="103">
                  <c:v>0.95459154143065905</c:v>
                </c:pt>
                <c:pt idx="104">
                  <c:v>0.94891957742929001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4A-4F15-A5A3-A2C19BE98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822496"/>
        <c:axId val="1256820096"/>
      </c:scatterChart>
      <c:valAx>
        <c:axId val="1256822496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6820096"/>
        <c:crosses val="autoZero"/>
        <c:crossBetween val="midCat"/>
      </c:valAx>
      <c:valAx>
        <c:axId val="1256820096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U(t), </a:t>
                </a:r>
                <a:r>
                  <a:rPr lang="ru-RU"/>
                  <a:t>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682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449035</xdr:colOff>
      <xdr:row>10</xdr:row>
      <xdr:rowOff>111579</xdr:rowOff>
    </xdr:from>
    <xdr:to>
      <xdr:col>11</xdr:col>
      <xdr:colOff>449035</xdr:colOff>
      <xdr:row>28</xdr:row>
      <xdr:rowOff>119742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985277A-86DA-DB65-CCAB-EB196B201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E615E6-ACDB-4B14-8D3A-B499D24EED1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8E5501-C51A-4F46-BE73-80D3A2BF6693}" name="N3346_БардышевАА_ВолощукАН_СуханкулиевМ_ШегайСД_ЛР1" displayName="N3346_БардышевАА_ВолощукАН_СуханкулиевМ_ШегайСД_ЛР1" ref="A1:B112" tableType="queryTable" totalsRowShown="0">
  <autoFilter ref="A1:B112" xr:uid="{CF8E5501-C51A-4F46-BE73-80D3A2BF6693}"/>
  <tableColumns count="2">
    <tableColumn id="1" xr3:uid="{52B93EC9-458B-4E10-BC7D-BF715BC9ADD0}" uniqueName="1" name="Column1" queryTableFieldId="1" dataDxfId="1"/>
    <tableColumn id="2" xr3:uid="{0E1CEAF8-2781-43BE-986B-C2631468FBA2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114"/>
  <sheetViews>
    <sheetView tabSelected="1" topLeftCell="A7" workbookViewId="0">
      <selection activeCell="L37" sqref="L37"/>
    </sheetView>
  </sheetViews>
  <sheetFormatPr defaultRowHeight="14.6" x14ac:dyDescent="0.4"/>
  <cols>
    <col min="1" max="1" width="17.07421875" bestFit="1" customWidth="1"/>
    <col min="2" max="2" width="28" customWidth="1"/>
  </cols>
  <sheetData>
    <row r="1" spans="1:182" ht="15.45" thickBot="1" x14ac:dyDescent="0.45">
      <c r="A1" s="1"/>
      <c r="B1" s="6" t="s">
        <v>0</v>
      </c>
      <c r="C1" s="7"/>
      <c r="D1" s="7"/>
      <c r="E1" s="7"/>
      <c r="F1" s="7"/>
      <c r="G1" s="7"/>
      <c r="H1" s="7"/>
      <c r="I1" s="7"/>
      <c r="J1" s="7"/>
      <c r="K1" s="8"/>
    </row>
    <row r="2" spans="1:182" ht="15.45" thickBot="1" x14ac:dyDescent="0.4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</row>
    <row r="3" spans="1:182" ht="15.9" thickBot="1" x14ac:dyDescent="0.45">
      <c r="A3" s="4" t="e" vm="1">
        <v>#VALUE!</v>
      </c>
      <c r="B3" s="5">
        <v>4.16</v>
      </c>
      <c r="C3" s="5">
        <v>3.76</v>
      </c>
      <c r="D3" s="5">
        <v>3.36</v>
      </c>
      <c r="E3" s="5">
        <v>2.88</v>
      </c>
      <c r="F3" s="5">
        <v>2.64</v>
      </c>
      <c r="G3" s="5">
        <v>2.3199999999999998</v>
      </c>
      <c r="H3" s="5">
        <v>2.08</v>
      </c>
      <c r="I3" s="5">
        <v>1.84</v>
      </c>
      <c r="J3" s="5">
        <v>1.6</v>
      </c>
      <c r="K3" s="5">
        <v>1.44</v>
      </c>
    </row>
    <row r="4" spans="1:182" ht="15.9" thickBot="1" x14ac:dyDescent="0.45">
      <c r="A4" s="4" t="e" vm="2">
        <v>#VALUE!</v>
      </c>
      <c r="B4" s="5">
        <v>0.8</v>
      </c>
      <c r="C4" s="5">
        <v>6.4</v>
      </c>
      <c r="D4" s="5">
        <v>14.2</v>
      </c>
      <c r="E4" s="5">
        <v>22.8</v>
      </c>
      <c r="F4" s="5">
        <v>29.6</v>
      </c>
      <c r="G4" s="5">
        <v>38.200000000000003</v>
      </c>
      <c r="H4" s="5">
        <v>45.8</v>
      </c>
      <c r="I4" s="5">
        <v>54.4</v>
      </c>
      <c r="J4" s="5">
        <v>63</v>
      </c>
      <c r="K4" s="5">
        <v>72</v>
      </c>
    </row>
    <row r="5" spans="1:182" x14ac:dyDescent="0.4">
      <c r="A5" t="s">
        <v>4</v>
      </c>
      <c r="B5">
        <v>0</v>
      </c>
      <c r="C5">
        <v>0.5</v>
      </c>
      <c r="D5">
        <v>1</v>
      </c>
      <c r="E5">
        <v>1.5</v>
      </c>
      <c r="F5">
        <v>2</v>
      </c>
      <c r="G5">
        <v>2.5</v>
      </c>
      <c r="H5">
        <v>3</v>
      </c>
      <c r="I5">
        <v>3.5</v>
      </c>
      <c r="J5">
        <v>4</v>
      </c>
      <c r="K5">
        <v>4.5</v>
      </c>
      <c r="L5">
        <v>5</v>
      </c>
      <c r="M5">
        <v>5.5</v>
      </c>
      <c r="N5">
        <v>6</v>
      </c>
      <c r="O5">
        <v>6.5</v>
      </c>
      <c r="P5">
        <v>7</v>
      </c>
      <c r="Q5">
        <v>7.5</v>
      </c>
      <c r="R5">
        <v>8</v>
      </c>
      <c r="S5">
        <v>8.5</v>
      </c>
      <c r="T5">
        <v>9</v>
      </c>
      <c r="U5">
        <v>9.5</v>
      </c>
      <c r="V5">
        <v>10</v>
      </c>
      <c r="W5">
        <v>10.5</v>
      </c>
      <c r="X5">
        <v>11</v>
      </c>
      <c r="Y5">
        <v>11.5</v>
      </c>
      <c r="Z5">
        <v>12</v>
      </c>
      <c r="AA5">
        <v>12.5</v>
      </c>
      <c r="AB5">
        <v>13</v>
      </c>
      <c r="AC5">
        <v>13.5</v>
      </c>
      <c r="AD5">
        <v>14</v>
      </c>
      <c r="AE5">
        <v>14.5</v>
      </c>
      <c r="AF5">
        <v>15</v>
      </c>
      <c r="AG5">
        <v>15.5</v>
      </c>
      <c r="AH5">
        <v>16</v>
      </c>
      <c r="AI5">
        <v>16.5</v>
      </c>
      <c r="AJ5">
        <v>17</v>
      </c>
      <c r="AK5">
        <v>17.5</v>
      </c>
      <c r="AL5">
        <v>18</v>
      </c>
      <c r="AM5">
        <v>18.5</v>
      </c>
      <c r="AN5">
        <v>19</v>
      </c>
      <c r="AO5">
        <v>19.5</v>
      </c>
      <c r="AP5">
        <v>20</v>
      </c>
      <c r="AQ5">
        <v>20.5</v>
      </c>
      <c r="AR5">
        <v>21</v>
      </c>
      <c r="AS5">
        <v>21.5</v>
      </c>
      <c r="AT5">
        <v>22</v>
      </c>
      <c r="AU5">
        <v>22.5</v>
      </c>
      <c r="AV5">
        <v>23</v>
      </c>
      <c r="AW5">
        <v>23.5</v>
      </c>
      <c r="AX5">
        <v>24</v>
      </c>
      <c r="AY5">
        <v>24.5</v>
      </c>
      <c r="AZ5">
        <v>25</v>
      </c>
      <c r="BA5">
        <v>25.5</v>
      </c>
      <c r="BB5">
        <v>26</v>
      </c>
      <c r="BC5">
        <v>26.5</v>
      </c>
      <c r="BD5">
        <v>27</v>
      </c>
      <c r="BE5">
        <v>27.5</v>
      </c>
      <c r="BF5">
        <v>28</v>
      </c>
      <c r="BG5">
        <v>28.5</v>
      </c>
      <c r="BH5">
        <v>29</v>
      </c>
      <c r="BI5">
        <v>29.5</v>
      </c>
      <c r="BJ5">
        <v>30</v>
      </c>
      <c r="BK5">
        <v>30.5</v>
      </c>
      <c r="BL5">
        <v>31</v>
      </c>
      <c r="BM5">
        <v>31.5</v>
      </c>
      <c r="BN5">
        <v>32</v>
      </c>
      <c r="BO5">
        <v>32.5</v>
      </c>
      <c r="BP5">
        <v>33</v>
      </c>
      <c r="BQ5">
        <v>33.5</v>
      </c>
      <c r="BR5">
        <v>34</v>
      </c>
      <c r="BS5">
        <v>34.5</v>
      </c>
      <c r="BT5">
        <v>35</v>
      </c>
      <c r="BU5">
        <v>35.5</v>
      </c>
      <c r="BV5">
        <v>36</v>
      </c>
      <c r="BW5">
        <v>36.5</v>
      </c>
      <c r="BX5">
        <v>37</v>
      </c>
      <c r="BY5">
        <v>37.5</v>
      </c>
      <c r="BZ5">
        <v>38</v>
      </c>
      <c r="CA5">
        <v>38.5</v>
      </c>
      <c r="CB5">
        <v>39</v>
      </c>
      <c r="CC5">
        <v>39.5</v>
      </c>
      <c r="CD5">
        <v>40</v>
      </c>
      <c r="CE5">
        <v>40.5</v>
      </c>
      <c r="CF5">
        <v>41</v>
      </c>
      <c r="CG5">
        <v>41.5</v>
      </c>
      <c r="CH5">
        <v>42</v>
      </c>
      <c r="CI5">
        <v>42.5</v>
      </c>
      <c r="CJ5">
        <v>43</v>
      </c>
      <c r="CK5">
        <v>43.5</v>
      </c>
      <c r="CL5">
        <v>44</v>
      </c>
      <c r="CM5">
        <v>44.5</v>
      </c>
      <c r="CN5">
        <v>45</v>
      </c>
      <c r="CO5">
        <v>45.5</v>
      </c>
      <c r="CP5">
        <v>46</v>
      </c>
      <c r="CQ5">
        <v>46.5</v>
      </c>
      <c r="CR5">
        <v>47</v>
      </c>
      <c r="CS5">
        <v>47.5</v>
      </c>
      <c r="CT5">
        <v>48</v>
      </c>
      <c r="CU5">
        <v>48.5</v>
      </c>
      <c r="CV5">
        <v>49</v>
      </c>
      <c r="CW5">
        <v>49.5</v>
      </c>
      <c r="CX5">
        <v>50</v>
      </c>
      <c r="CY5">
        <v>50.5</v>
      </c>
      <c r="CZ5">
        <v>51</v>
      </c>
      <c r="DA5">
        <v>51.5</v>
      </c>
      <c r="DB5">
        <v>52</v>
      </c>
      <c r="DC5">
        <v>52.5</v>
      </c>
      <c r="DD5">
        <v>53</v>
      </c>
      <c r="DE5">
        <v>53.5</v>
      </c>
      <c r="DF5">
        <v>54</v>
      </c>
      <c r="DG5">
        <v>54.5</v>
      </c>
      <c r="DH5">
        <v>55</v>
      </c>
      <c r="DI5">
        <v>55.5</v>
      </c>
      <c r="DJ5">
        <v>56</v>
      </c>
      <c r="DK5">
        <v>56.5</v>
      </c>
      <c r="DL5">
        <v>57</v>
      </c>
      <c r="DM5">
        <v>57.5</v>
      </c>
      <c r="DN5">
        <v>58</v>
      </c>
      <c r="DO5">
        <v>58.5</v>
      </c>
      <c r="DP5">
        <v>59</v>
      </c>
      <c r="DQ5">
        <v>59.5</v>
      </c>
      <c r="DR5">
        <v>60</v>
      </c>
      <c r="DS5">
        <v>60.5</v>
      </c>
      <c r="DT5">
        <v>61</v>
      </c>
      <c r="DU5">
        <v>61.5</v>
      </c>
      <c r="DV5">
        <v>62</v>
      </c>
      <c r="DW5">
        <v>62.5</v>
      </c>
      <c r="DX5">
        <v>63</v>
      </c>
      <c r="DY5">
        <v>63.5</v>
      </c>
      <c r="DZ5">
        <v>64</v>
      </c>
      <c r="EA5">
        <v>64.5</v>
      </c>
      <c r="EB5">
        <v>65</v>
      </c>
      <c r="EC5">
        <v>65.5</v>
      </c>
      <c r="ED5">
        <v>66</v>
      </c>
      <c r="EE5">
        <v>66.5</v>
      </c>
      <c r="EF5">
        <v>67</v>
      </c>
      <c r="EG5">
        <v>67.5</v>
      </c>
      <c r="EH5">
        <v>68</v>
      </c>
      <c r="EI5">
        <v>68.5</v>
      </c>
      <c r="EJ5">
        <v>69</v>
      </c>
      <c r="EK5">
        <v>69.5</v>
      </c>
      <c r="EL5">
        <v>70</v>
      </c>
      <c r="EM5">
        <v>70.5</v>
      </c>
      <c r="EN5">
        <v>71</v>
      </c>
      <c r="EO5">
        <v>71.5</v>
      </c>
      <c r="EP5">
        <v>72</v>
      </c>
      <c r="EQ5">
        <v>72.5</v>
      </c>
      <c r="ER5">
        <v>73</v>
      </c>
      <c r="ES5">
        <v>73.5</v>
      </c>
      <c r="ET5">
        <v>74</v>
      </c>
      <c r="EU5">
        <v>74.5</v>
      </c>
      <c r="EV5">
        <v>75</v>
      </c>
      <c r="EW5">
        <v>75.5</v>
      </c>
      <c r="EX5">
        <v>76</v>
      </c>
      <c r="EY5">
        <v>76.5</v>
      </c>
      <c r="EZ5">
        <v>77</v>
      </c>
      <c r="FA5">
        <v>77.5</v>
      </c>
      <c r="FB5">
        <v>78</v>
      </c>
      <c r="FC5">
        <v>78.5</v>
      </c>
      <c r="FD5">
        <v>79</v>
      </c>
      <c r="FE5">
        <v>79.5</v>
      </c>
      <c r="FF5">
        <v>80</v>
      </c>
      <c r="FG5">
        <v>80.5</v>
      </c>
      <c r="FH5">
        <v>81</v>
      </c>
      <c r="FI5">
        <v>81.5</v>
      </c>
      <c r="FJ5">
        <v>82</v>
      </c>
      <c r="FK5">
        <v>82.5</v>
      </c>
      <c r="FL5">
        <v>83</v>
      </c>
      <c r="FM5">
        <v>83.5</v>
      </c>
      <c r="FN5">
        <v>84</v>
      </c>
      <c r="FO5">
        <v>84.5</v>
      </c>
      <c r="FP5">
        <v>85</v>
      </c>
      <c r="FQ5">
        <v>85.5</v>
      </c>
      <c r="FR5">
        <v>86</v>
      </c>
      <c r="FS5">
        <v>86.5</v>
      </c>
      <c r="FT5">
        <v>87</v>
      </c>
      <c r="FU5">
        <v>87.5</v>
      </c>
      <c r="FV5">
        <v>88</v>
      </c>
      <c r="FW5">
        <v>88.5</v>
      </c>
      <c r="FX5">
        <v>89</v>
      </c>
      <c r="FY5">
        <v>89.5</v>
      </c>
      <c r="FZ5">
        <v>90</v>
      </c>
    </row>
    <row r="6" spans="1:182" x14ac:dyDescent="0.4">
      <c r="A6" t="s">
        <v>2</v>
      </c>
      <c r="B6">
        <f>(K4-B4)/(LN(B3/K3))</f>
        <v>67.114602552044886</v>
      </c>
    </row>
    <row r="7" spans="1:182" x14ac:dyDescent="0.4">
      <c r="A7" t="s">
        <v>3</v>
      </c>
      <c r="B7">
        <f>B3/(EXP(-B4/B6))</f>
        <v>4.2098835372213133</v>
      </c>
    </row>
    <row r="8" spans="1:182" x14ac:dyDescent="0.4">
      <c r="A8" t="s">
        <v>5</v>
      </c>
      <c r="B8">
        <f>$B$7*EXP(-B5/$B$6)</f>
        <v>4.2098835372213133</v>
      </c>
      <c r="C8">
        <f>$B$7*EXP(-C5/$B$6)</f>
        <v>4.1786366807209454</v>
      </c>
      <c r="D8">
        <f t="shared" ref="D8:BO8" si="0">$B$7*EXP(-D5/$B$6)</f>
        <v>4.1476217465605938</v>
      </c>
      <c r="E8">
        <f t="shared" si="0"/>
        <v>4.116837013352006</v>
      </c>
      <c r="F8">
        <f t="shared" si="0"/>
        <v>4.0862807724835184</v>
      </c>
      <c r="G8">
        <f t="shared" si="0"/>
        <v>4.0559513280252322</v>
      </c>
      <c r="H8">
        <f t="shared" si="0"/>
        <v>4.0258469966348835</v>
      </c>
      <c r="I8">
        <f t="shared" si="0"/>
        <v>3.9959661074644157</v>
      </c>
      <c r="J8">
        <f t="shared" si="0"/>
        <v>3.9663070020672415</v>
      </c>
      <c r="K8">
        <f t="shared" si="0"/>
        <v>3.9368680343061988</v>
      </c>
      <c r="L8">
        <f t="shared" si="0"/>
        <v>3.9076475702621871</v>
      </c>
      <c r="M8">
        <f t="shared" si="0"/>
        <v>3.8786439881434789</v>
      </c>
      <c r="N8">
        <f t="shared" si="0"/>
        <v>3.8498556781957105</v>
      </c>
      <c r="O8">
        <f t="shared" si="0"/>
        <v>3.8212810426125348</v>
      </c>
      <c r="P8">
        <f t="shared" si="0"/>
        <v>3.7929184954469419</v>
      </c>
      <c r="Q8">
        <f t="shared" si="0"/>
        <v>3.7647664625232355</v>
      </c>
      <c r="R8">
        <f t="shared" si="0"/>
        <v>3.7368233813496632</v>
      </c>
      <c r="S8">
        <f t="shared" si="0"/>
        <v>3.7090877010316929</v>
      </c>
      <c r="T8">
        <f t="shared" si="0"/>
        <v>3.6815578821859405</v>
      </c>
      <c r="U8">
        <f t="shared" si="0"/>
        <v>3.6542323968547259</v>
      </c>
      <c r="V8">
        <f t="shared" si="0"/>
        <v>3.6271097284212699</v>
      </c>
      <c r="W8">
        <f t="shared" si="0"/>
        <v>3.6001883715255221</v>
      </c>
      <c r="X8">
        <f t="shared" si="0"/>
        <v>3.5734668319806056</v>
      </c>
      <c r="Y8">
        <f t="shared" si="0"/>
        <v>3.5469436266898904</v>
      </c>
      <c r="Z8">
        <f t="shared" si="0"/>
        <v>3.5206172835646767</v>
      </c>
      <c r="AA8">
        <f t="shared" si="0"/>
        <v>3.4944863414424936</v>
      </c>
      <c r="AB8">
        <f t="shared" si="0"/>
        <v>3.4685493500059983</v>
      </c>
      <c r="AC8">
        <f t="shared" si="0"/>
        <v>3.4428048697024844</v>
      </c>
      <c r="AD8">
        <f t="shared" si="0"/>
        <v>3.4172514716639797</v>
      </c>
      <c r="AE8">
        <f t="shared" si="0"/>
        <v>3.3918877376279464</v>
      </c>
      <c r="AF8">
        <f t="shared" si="0"/>
        <v>3.3667122598585606</v>
      </c>
      <c r="AG8">
        <f t="shared" si="0"/>
        <v>3.3417236410685813</v>
      </c>
      <c r="AH8">
        <f t="shared" si="0"/>
        <v>3.3169204943418009</v>
      </c>
      <c r="AI8">
        <f t="shared" si="0"/>
        <v>3.2923014430560644</v>
      </c>
      <c r="AJ8">
        <f t="shared" si="0"/>
        <v>3.2678651208068676</v>
      </c>
      <c r="AK8">
        <f t="shared" si="0"/>
        <v>3.2436101713315177</v>
      </c>
      <c r="AL8">
        <f t="shared" si="0"/>
        <v>3.2195352484338575</v>
      </c>
      <c r="AM8">
        <f t="shared" si="0"/>
        <v>3.1956390159095514</v>
      </c>
      <c r="AN8">
        <f t="shared" si="0"/>
        <v>3.1719201474719196</v>
      </c>
      <c r="AO8">
        <f t="shared" si="0"/>
        <v>3.1483773266783306</v>
      </c>
      <c r="AP8">
        <f t="shared" si="0"/>
        <v>3.1250092468571338</v>
      </c>
      <c r="AQ8">
        <f t="shared" si="0"/>
        <v>3.1018146110351363</v>
      </c>
      <c r="AR8">
        <f t="shared" si="0"/>
        <v>3.0787921318656215</v>
      </c>
      <c r="AS8">
        <f t="shared" si="0"/>
        <v>3.0559405315568955</v>
      </c>
      <c r="AT8">
        <f t="shared" si="0"/>
        <v>3.0332585418013678</v>
      </c>
      <c r="AU8">
        <f t="shared" si="0"/>
        <v>3.0107449037051599</v>
      </c>
      <c r="AV8">
        <f t="shared" si="0"/>
        <v>2.9883983677182324</v>
      </c>
      <c r="AW8">
        <f t="shared" si="0"/>
        <v>2.9662176935650324</v>
      </c>
      <c r="AX8">
        <f t="shared" si="0"/>
        <v>2.9442016501756574</v>
      </c>
      <c r="AY8">
        <f t="shared" si="0"/>
        <v>2.9223490156175269</v>
      </c>
      <c r="AZ8">
        <f t="shared" si="0"/>
        <v>2.9006585770275644</v>
      </c>
      <c r="BA8">
        <f t="shared" si="0"/>
        <v>2.8791291305448796</v>
      </c>
      <c r="BB8">
        <f t="shared" si="0"/>
        <v>2.8577594812439524</v>
      </c>
      <c r="BC8">
        <f t="shared" si="0"/>
        <v>2.8365484430683128</v>
      </c>
      <c r="BD8">
        <f t="shared" si="0"/>
        <v>2.815494838764713</v>
      </c>
      <c r="BE8">
        <f t="shared" si="0"/>
        <v>2.794597499817784</v>
      </c>
      <c r="BF8">
        <f t="shared" si="0"/>
        <v>2.7738552663851861</v>
      </c>
      <c r="BG8">
        <f t="shared" si="0"/>
        <v>2.753266987233232</v>
      </c>
      <c r="BH8">
        <f t="shared" si="0"/>
        <v>2.7328315196729913</v>
      </c>
      <c r="BI8">
        <f t="shared" si="0"/>
        <v>2.7125477294968698</v>
      </c>
      <c r="BJ8">
        <f t="shared" si="0"/>
        <v>2.6924144909156587</v>
      </c>
      <c r="BK8">
        <f t="shared" si="0"/>
        <v>2.6724306864960519</v>
      </c>
      <c r="BL8">
        <f t="shared" si="0"/>
        <v>2.6525952070986243</v>
      </c>
      <c r="BM8">
        <f t="shared" si="0"/>
        <v>2.6329069518162744</v>
      </c>
      <c r="BN8">
        <f t="shared" si="0"/>
        <v>2.6133648279131205</v>
      </c>
      <c r="BO8">
        <f t="shared" si="0"/>
        <v>2.5939677507638539</v>
      </c>
      <c r="BP8">
        <f t="shared" ref="BP8:EA8" si="1">$B$7*EXP(-BP5/$B$6)</f>
        <v>2.574714643793536</v>
      </c>
      <c r="BQ8">
        <f t="shared" si="1"/>
        <v>2.5556044384178516</v>
      </c>
      <c r="BR8">
        <f t="shared" si="1"/>
        <v>2.5366360739837952</v>
      </c>
      <c r="BS8">
        <f t="shared" si="1"/>
        <v>2.5178084977108077</v>
      </c>
      <c r="BT8">
        <f t="shared" si="1"/>
        <v>2.4991206646323407</v>
      </c>
      <c r="BU8">
        <f t="shared" si="1"/>
        <v>2.4805715375378621</v>
      </c>
      <c r="BV8">
        <f t="shared" si="1"/>
        <v>2.4621600869152864</v>
      </c>
      <c r="BW8">
        <f t="shared" si="1"/>
        <v>2.4438852908938378</v>
      </c>
      <c r="BX8">
        <f t="shared" si="1"/>
        <v>2.4257461351873295</v>
      </c>
      <c r="BY8">
        <f t="shared" si="1"/>
        <v>2.4077416130378757</v>
      </c>
      <c r="BZ8">
        <f t="shared" si="1"/>
        <v>2.3898707251600091</v>
      </c>
      <c r="CA8">
        <f t="shared" si="1"/>
        <v>2.3721324796852201</v>
      </c>
      <c r="CB8">
        <f t="shared" si="1"/>
        <v>2.3545258921069063</v>
      </c>
      <c r="CC8">
        <f t="shared" si="1"/>
        <v>2.3370499852257329</v>
      </c>
      <c r="CD8">
        <f t="shared" si="1"/>
        <v>2.3197037890953909</v>
      </c>
      <c r="CE8">
        <f t="shared" si="1"/>
        <v>2.3024863409687697</v>
      </c>
      <c r="CF8">
        <f t="shared" si="1"/>
        <v>2.2853966852445176</v>
      </c>
      <c r="CG8">
        <f t="shared" si="1"/>
        <v>2.2684338734140064</v>
      </c>
      <c r="CH8">
        <f t="shared" si="1"/>
        <v>2.2515969640086868</v>
      </c>
      <c r="CI8">
        <f t="shared" si="1"/>
        <v>2.2348850225478354</v>
      </c>
      <c r="CJ8">
        <f t="shared" si="1"/>
        <v>2.2182971214866893</v>
      </c>
      <c r="CK8">
        <f t="shared" si="1"/>
        <v>2.2018323401649651</v>
      </c>
      <c r="CL8">
        <f t="shared" si="1"/>
        <v>2.1854897647557614</v>
      </c>
      <c r="CM8">
        <f t="shared" si="1"/>
        <v>2.1692684882148381</v>
      </c>
      <c r="CN8">
        <f t="shared" si="1"/>
        <v>2.1531676102302755</v>
      </c>
      <c r="CO8">
        <f t="shared" si="1"/>
        <v>2.1371862371725037</v>
      </c>
      <c r="CP8">
        <f t="shared" si="1"/>
        <v>2.1213234820447049</v>
      </c>
      <c r="CQ8">
        <f t="shared" si="1"/>
        <v>2.1055784644335853</v>
      </c>
      <c r="CR8">
        <f t="shared" si="1"/>
        <v>2.0899503104605071</v>
      </c>
      <c r="CS8">
        <f t="shared" si="1"/>
        <v>2.0744381527329887</v>
      </c>
      <c r="CT8">
        <f t="shared" si="1"/>
        <v>2.059041130296563</v>
      </c>
      <c r="CU8">
        <f t="shared" si="1"/>
        <v>2.0437583885869905</v>
      </c>
      <c r="CV8">
        <f t="shared" si="1"/>
        <v>2.0285890793828334</v>
      </c>
      <c r="CW8">
        <f t="shared" si="1"/>
        <v>2.0135323607583731</v>
      </c>
      <c r="CX8">
        <f t="shared" si="1"/>
        <v>1.9985873970368842</v>
      </c>
      <c r="CY8">
        <f t="shared" si="1"/>
        <v>1.9837533587442535</v>
      </c>
      <c r="CZ8">
        <f t="shared" si="1"/>
        <v>1.969029422562941</v>
      </c>
      <c r="DA8">
        <f t="shared" si="1"/>
        <v>1.9544147712862843</v>
      </c>
      <c r="DB8">
        <f t="shared" si="1"/>
        <v>1.9399085937731433</v>
      </c>
      <c r="DC8">
        <f t="shared" si="1"/>
        <v>1.9255100849028788</v>
      </c>
      <c r="DD8">
        <f t="shared" si="1"/>
        <v>1.9112184455306684</v>
      </c>
      <c r="DE8">
        <f t="shared" si="1"/>
        <v>1.8970328824431513</v>
      </c>
      <c r="DF8">
        <f t="shared" si="1"/>
        <v>1.8829526083144026</v>
      </c>
      <c r="DG8">
        <f t="shared" si="1"/>
        <v>1.8689768416622381</v>
      </c>
      <c r="DH8">
        <f t="shared" si="1"/>
        <v>1.8551048068048375</v>
      </c>
      <c r="DI8">
        <f t="shared" si="1"/>
        <v>1.8413357338176937</v>
      </c>
      <c r="DJ8">
        <f t="shared" si="1"/>
        <v>1.8276688584908818</v>
      </c>
      <c r="DK8">
        <f t="shared" si="1"/>
        <v>1.8141034222866417</v>
      </c>
      <c r="DL8">
        <f t="shared" si="1"/>
        <v>1.8006386722972794</v>
      </c>
      <c r="DM8">
        <f t="shared" si="1"/>
        <v>1.7872738612033781</v>
      </c>
      <c r="DN8">
        <f t="shared" si="1"/>
        <v>1.7740082472323224</v>
      </c>
      <c r="DO8">
        <f t="shared" si="1"/>
        <v>1.7608410941171257</v>
      </c>
      <c r="DP8">
        <f t="shared" si="1"/>
        <v>1.7477716710555689</v>
      </c>
      <c r="DQ8">
        <f t="shared" si="1"/>
        <v>1.7347992526696365</v>
      </c>
      <c r="DR8">
        <f t="shared" si="1"/>
        <v>1.7219231189652604</v>
      </c>
      <c r="DS8">
        <f t="shared" si="1"/>
        <v>1.7091425552923547</v>
      </c>
      <c r="DT8">
        <f t="shared" si="1"/>
        <v>1.6964568523051544</v>
      </c>
      <c r="DU8">
        <f t="shared" si="1"/>
        <v>1.6838653059228443</v>
      </c>
      <c r="DV8">
        <f t="shared" si="1"/>
        <v>1.671367217290481</v>
      </c>
      <c r="DW8">
        <f t="shared" si="1"/>
        <v>1.6589618927402048</v>
      </c>
      <c r="DX8">
        <f t="shared" si="1"/>
        <v>1.6466486437527406</v>
      </c>
      <c r="DY8">
        <f t="shared" si="1"/>
        <v>1.6344267869191833</v>
      </c>
      <c r="DZ8">
        <f t="shared" si="1"/>
        <v>1.6222956439030678</v>
      </c>
      <c r="EA8">
        <f t="shared" si="1"/>
        <v>1.6102545414027194</v>
      </c>
      <c r="EB8">
        <f t="shared" ref="EB8:FZ8" si="2">$B$7*EXP(-EB5/$B$6)</f>
        <v>1.5983028111138839</v>
      </c>
      <c r="EC8">
        <f t="shared" si="2"/>
        <v>1.5864397896926372</v>
      </c>
      <c r="ED8">
        <f t="shared" si="2"/>
        <v>1.5746648187185661</v>
      </c>
      <c r="EE8">
        <f t="shared" si="2"/>
        <v>1.5629772446582268</v>
      </c>
      <c r="EF8">
        <f t="shared" si="2"/>
        <v>1.551376418828871</v>
      </c>
      <c r="EG8">
        <f t="shared" si="2"/>
        <v>1.5398616973624437</v>
      </c>
      <c r="EH8">
        <f t="shared" si="2"/>
        <v>1.5284324411698471</v>
      </c>
      <c r="EI8">
        <f t="shared" si="2"/>
        <v>1.5170880159054689</v>
      </c>
      <c r="EJ8">
        <f t="shared" si="2"/>
        <v>1.5058277919319778</v>
      </c>
      <c r="EK8">
        <f t="shared" si="2"/>
        <v>1.4946511442853727</v>
      </c>
      <c r="EL8">
        <f t="shared" si="2"/>
        <v>1.4835574526403015</v>
      </c>
      <c r="EM8">
        <f t="shared" si="2"/>
        <v>1.4725461012756265</v>
      </c>
      <c r="EN8">
        <f t="shared" si="2"/>
        <v>1.4616164790402557</v>
      </c>
      <c r="EO8">
        <f t="shared" si="2"/>
        <v>1.4507679793192183</v>
      </c>
      <c r="EP8">
        <f t="shared" si="2"/>
        <v>1.44</v>
      </c>
      <c r="EQ8">
        <f t="shared" si="2"/>
        <v>1.4293119434391219</v>
      </c>
      <c r="ER8">
        <f t="shared" si="2"/>
        <v>1.4187032164289723</v>
      </c>
      <c r="ES8">
        <f t="shared" si="2"/>
        <v>1.4081732301648804</v>
      </c>
      <c r="ET8">
        <f t="shared" si="2"/>
        <v>1.3977214002124383</v>
      </c>
      <c r="EU8">
        <f t="shared" si="2"/>
        <v>1.3873471464750631</v>
      </c>
      <c r="EV8">
        <f t="shared" si="2"/>
        <v>1.3770498931618007</v>
      </c>
      <c r="EW8">
        <f t="shared" si="2"/>
        <v>1.366829068755367</v>
      </c>
      <c r="EX8">
        <f t="shared" si="2"/>
        <v>1.35668410598043</v>
      </c>
      <c r="EY8">
        <f t="shared" si="2"/>
        <v>1.3466144417721222</v>
      </c>
      <c r="EZ8">
        <f t="shared" si="2"/>
        <v>1.3366195172447921</v>
      </c>
      <c r="FA8">
        <f t="shared" si="2"/>
        <v>1.3266987776609824</v>
      </c>
      <c r="FB8">
        <f t="shared" si="2"/>
        <v>1.3168516724006436</v>
      </c>
      <c r="FC8">
        <f t="shared" si="2"/>
        <v>1.3070776549305705</v>
      </c>
      <c r="FD8">
        <f t="shared" si="2"/>
        <v>1.2973761827740722</v>
      </c>
      <c r="FE8">
        <f t="shared" si="2"/>
        <v>1.2877467174808603</v>
      </c>
      <c r="FF8">
        <f t="shared" si="2"/>
        <v>1.2781887245971657</v>
      </c>
      <c r="FG8">
        <f t="shared" si="2"/>
        <v>1.2687016736360746</v>
      </c>
      <c r="FH8">
        <f t="shared" si="2"/>
        <v>1.2592850380480864</v>
      </c>
      <c r="FI8">
        <f t="shared" si="2"/>
        <v>1.2499382951918883</v>
      </c>
      <c r="FJ8">
        <f t="shared" si="2"/>
        <v>1.2406609263053479</v>
      </c>
      <c r="FK8">
        <f t="shared" si="2"/>
        <v>1.2314524164767209</v>
      </c>
      <c r="FL8">
        <f t="shared" si="2"/>
        <v>1.2223122546160732</v>
      </c>
      <c r="FM8">
        <f t="shared" si="2"/>
        <v>1.2132399334269126</v>
      </c>
      <c r="FN8">
        <f t="shared" si="2"/>
        <v>1.204234949378036</v>
      </c>
      <c r="FO8">
        <f t="shared" si="2"/>
        <v>1.1952968026755784</v>
      </c>
      <c r="FP8">
        <f t="shared" si="2"/>
        <v>1.1864249972352778</v>
      </c>
      <c r="FQ8">
        <f t="shared" si="2"/>
        <v>1.1776190406549374</v>
      </c>
      <c r="FR8">
        <f t="shared" si="2"/>
        <v>1.1688784441870994</v>
      </c>
      <c r="FS8">
        <f t="shared" si="2"/>
        <v>1.1602027227119167</v>
      </c>
      <c r="FT8">
        <f t="shared" si="2"/>
        <v>1.1515913947102296</v>
      </c>
      <c r="FU8">
        <f t="shared" si="2"/>
        <v>1.1430439822368383</v>
      </c>
      <c r="FV8">
        <f t="shared" si="2"/>
        <v>1.1345600108939786</v>
      </c>
      <c r="FW8">
        <f t="shared" si="2"/>
        <v>1.1261390098049886</v>
      </c>
      <c r="FX8">
        <f t="shared" si="2"/>
        <v>1.1177805115881785</v>
      </c>
      <c r="FY8">
        <f t="shared" si="2"/>
        <v>1.1094840523308855</v>
      </c>
      <c r="FZ8">
        <f t="shared" si="2"/>
        <v>1.1012491715637298</v>
      </c>
    </row>
    <row r="10" spans="1:182" x14ac:dyDescent="0.4">
      <c r="A10" s="10">
        <f>C10*1000</f>
        <v>0</v>
      </c>
      <c r="B10" s="11">
        <v>4.2099999372765202</v>
      </c>
      <c r="C10" s="10">
        <v>0</v>
      </c>
    </row>
    <row r="11" spans="1:182" x14ac:dyDescent="0.4">
      <c r="A11" s="10">
        <f t="shared" ref="A11:A74" si="3">C11*1000</f>
        <v>0.1</v>
      </c>
      <c r="B11" s="13">
        <v>4.2037369204105897</v>
      </c>
      <c r="C11" s="12">
        <v>1E-4</v>
      </c>
    </row>
    <row r="12" spans="1:182" x14ac:dyDescent="0.4">
      <c r="A12" s="10">
        <f t="shared" si="3"/>
        <v>0.2</v>
      </c>
      <c r="B12" s="11">
        <v>4.1974832207372597</v>
      </c>
      <c r="C12" s="10">
        <v>2.0000000000000001E-4</v>
      </c>
    </row>
    <row r="13" spans="1:182" x14ac:dyDescent="0.4">
      <c r="A13" s="10">
        <f t="shared" si="3"/>
        <v>0.4</v>
      </c>
      <c r="B13" s="13">
        <v>4.1849944280543196</v>
      </c>
      <c r="C13" s="12">
        <v>4.0000000000000002E-4</v>
      </c>
    </row>
    <row r="14" spans="1:182" x14ac:dyDescent="0.4">
      <c r="A14" s="10">
        <f t="shared" si="3"/>
        <v>0.8</v>
      </c>
      <c r="B14" s="11">
        <v>4.1601281510011203</v>
      </c>
      <c r="C14" s="10">
        <v>8.0000000000000004E-4</v>
      </c>
    </row>
    <row r="15" spans="1:182" x14ac:dyDescent="0.4">
      <c r="A15" s="10">
        <f t="shared" si="3"/>
        <v>1.6</v>
      </c>
      <c r="B15" s="13">
        <v>4.1108375330982598</v>
      </c>
      <c r="C15" s="12">
        <v>1.6000000000000001E-3</v>
      </c>
    </row>
    <row r="16" spans="1:182" x14ac:dyDescent="0.4">
      <c r="A16" s="10">
        <f t="shared" si="3"/>
        <v>2.5999999999999899</v>
      </c>
      <c r="B16" s="11">
        <v>4.0500443131470902</v>
      </c>
      <c r="C16" s="10">
        <v>2.5999999999999899E-3</v>
      </c>
    </row>
    <row r="17" spans="1:3" x14ac:dyDescent="0.4">
      <c r="A17" s="10">
        <f t="shared" si="3"/>
        <v>3.5999999999999899</v>
      </c>
      <c r="B17" s="13">
        <v>3.9901501351945998</v>
      </c>
      <c r="C17" s="12">
        <v>3.5999999999999899E-3</v>
      </c>
    </row>
    <row r="18" spans="1:3" x14ac:dyDescent="0.4">
      <c r="A18" s="10">
        <f t="shared" si="3"/>
        <v>4.5999999999999908</v>
      </c>
      <c r="B18" s="11">
        <v>3.9311417037365302</v>
      </c>
      <c r="C18" s="10">
        <v>4.5999999999999904E-3</v>
      </c>
    </row>
    <row r="19" spans="1:3" x14ac:dyDescent="0.4">
      <c r="A19" s="10">
        <f t="shared" si="3"/>
        <v>5.5999999999999908</v>
      </c>
      <c r="B19" s="13">
        <v>3.8730059198895002</v>
      </c>
      <c r="C19" s="12">
        <v>5.5999999999999904E-3</v>
      </c>
    </row>
    <row r="20" spans="1:3" x14ac:dyDescent="0.4">
      <c r="A20" s="10">
        <f t="shared" si="3"/>
        <v>6.6</v>
      </c>
      <c r="B20" s="11">
        <v>3.8157298784832698</v>
      </c>
      <c r="C20" s="10">
        <v>6.6E-3</v>
      </c>
    </row>
    <row r="21" spans="1:3" x14ac:dyDescent="0.4">
      <c r="A21" s="10">
        <f t="shared" si="3"/>
        <v>7.6</v>
      </c>
      <c r="B21" s="13">
        <v>3.7593008651960198</v>
      </c>
      <c r="C21" s="12">
        <v>7.6E-3</v>
      </c>
    </row>
    <row r="22" spans="1:3" x14ac:dyDescent="0.4">
      <c r="A22" s="10">
        <f t="shared" si="3"/>
        <v>8.6</v>
      </c>
      <c r="B22" s="11">
        <v>3.7037063537320201</v>
      </c>
      <c r="C22" s="10">
        <v>8.6E-3</v>
      </c>
    </row>
    <row r="23" spans="1:3" x14ac:dyDescent="0.4">
      <c r="A23" s="10">
        <f t="shared" si="3"/>
        <v>9.6</v>
      </c>
      <c r="B23" s="13">
        <v>3.6489340030409201</v>
      </c>
      <c r="C23" s="12">
        <v>9.5999999999999992E-3</v>
      </c>
    </row>
    <row r="24" spans="1:3" x14ac:dyDescent="0.4">
      <c r="A24" s="10">
        <f t="shared" si="3"/>
        <v>10.6</v>
      </c>
      <c r="B24" s="11">
        <v>3.5949716545783201</v>
      </c>
      <c r="C24" s="10">
        <v>1.06E-2</v>
      </c>
    </row>
    <row r="25" spans="1:3" x14ac:dyDescent="0.4">
      <c r="A25" s="10">
        <f t="shared" si="3"/>
        <v>11.6</v>
      </c>
      <c r="B25" s="13">
        <v>3.5418073296067401</v>
      </c>
      <c r="C25" s="12">
        <v>1.1599999999999999E-2</v>
      </c>
    </row>
    <row r="26" spans="1:3" x14ac:dyDescent="0.4">
      <c r="A26" s="10">
        <f t="shared" si="3"/>
        <v>12.6</v>
      </c>
      <c r="B26" s="11">
        <v>3.4894292265365499</v>
      </c>
      <c r="C26" s="10">
        <v>1.26E-2</v>
      </c>
    </row>
    <row r="27" spans="1:3" x14ac:dyDescent="0.4">
      <c r="A27" s="10">
        <f t="shared" si="3"/>
        <v>13.6</v>
      </c>
      <c r="B27" s="13">
        <v>3.4378257183061902</v>
      </c>
      <c r="C27" s="12">
        <v>1.3599999999999999E-2</v>
      </c>
    </row>
    <row r="28" spans="1:3" x14ac:dyDescent="0.4">
      <c r="A28" s="10">
        <f t="shared" si="3"/>
        <v>14.6</v>
      </c>
      <c r="B28" s="11">
        <v>3.3869853498012201</v>
      </c>
      <c r="C28" s="10">
        <v>1.46E-2</v>
      </c>
    </row>
    <row r="29" spans="1:3" x14ac:dyDescent="0.4">
      <c r="A29" s="10">
        <f t="shared" si="3"/>
        <v>15.6</v>
      </c>
      <c r="B29" s="13">
        <v>3.3368968353114101</v>
      </c>
      <c r="C29" s="12">
        <v>1.5599999999999999E-2</v>
      </c>
    </row>
    <row r="30" spans="1:3" x14ac:dyDescent="0.4">
      <c r="A30" s="10">
        <f t="shared" si="3"/>
        <v>16.600000000000001</v>
      </c>
      <c r="B30" s="11">
        <v>3.2875490560255201</v>
      </c>
      <c r="C30" s="10">
        <v>1.66E-2</v>
      </c>
    </row>
    <row r="31" spans="1:3" x14ac:dyDescent="0.4">
      <c r="A31" s="10">
        <f t="shared" si="3"/>
        <v>17.600000000000001</v>
      </c>
      <c r="B31" s="13">
        <v>3.2389310575631498</v>
      </c>
      <c r="C31" s="12">
        <v>1.7600000000000001E-2</v>
      </c>
    </row>
    <row r="32" spans="1:3" x14ac:dyDescent="0.4">
      <c r="A32" s="10">
        <f t="shared" si="3"/>
        <v>18.599999999999998</v>
      </c>
      <c r="B32" s="11">
        <v>3.1910320475429899</v>
      </c>
      <c r="C32" s="10">
        <v>1.8599999999999998E-2</v>
      </c>
    </row>
    <row r="33" spans="1:3" x14ac:dyDescent="0.4">
      <c r="A33" s="10">
        <f t="shared" si="3"/>
        <v>19.599999999999998</v>
      </c>
      <c r="B33" s="13">
        <v>3.1438413931871398</v>
      </c>
      <c r="C33" s="12">
        <v>1.9599999999999999E-2</v>
      </c>
    </row>
    <row r="34" spans="1:3" x14ac:dyDescent="0.4">
      <c r="A34" s="10">
        <f t="shared" si="3"/>
        <v>20.6</v>
      </c>
      <c r="B34" s="11">
        <v>3.09734861896077</v>
      </c>
      <c r="C34" s="10">
        <v>2.06E-2</v>
      </c>
    </row>
    <row r="35" spans="1:3" x14ac:dyDescent="0.4">
      <c r="A35" s="10">
        <f t="shared" si="3"/>
        <v>21.6</v>
      </c>
      <c r="B35" s="13">
        <v>3.05154340424677</v>
      </c>
      <c r="C35" s="12">
        <v>2.1600000000000001E-2</v>
      </c>
    </row>
    <row r="36" spans="1:3" x14ac:dyDescent="0.4">
      <c r="A36" s="10">
        <f t="shared" si="3"/>
        <v>22.599999999999998</v>
      </c>
      <c r="B36" s="11">
        <v>3.0064155810547102</v>
      </c>
      <c r="C36" s="10">
        <v>2.2599999999999999E-2</v>
      </c>
    </row>
    <row r="37" spans="1:3" x14ac:dyDescent="0.4">
      <c r="A37" s="10">
        <f t="shared" si="3"/>
        <v>23.599999999999998</v>
      </c>
      <c r="B37" s="13">
        <v>2.9619551317637498</v>
      </c>
      <c r="C37" s="12">
        <v>2.3599999999999999E-2</v>
      </c>
    </row>
    <row r="38" spans="1:3" x14ac:dyDescent="0.4">
      <c r="A38" s="10">
        <f t="shared" si="3"/>
        <v>24.6</v>
      </c>
      <c r="B38" s="11">
        <v>2.91815218689886</v>
      </c>
      <c r="C38" s="10">
        <v>2.46E-2</v>
      </c>
    </row>
    <row r="39" spans="1:3" x14ac:dyDescent="0.4">
      <c r="A39" s="10">
        <f t="shared" si="3"/>
        <v>25.6</v>
      </c>
      <c r="B39" s="13">
        <v>2.8749970229399899</v>
      </c>
      <c r="C39" s="12">
        <v>2.5600000000000001E-2</v>
      </c>
    </row>
    <row r="40" spans="1:3" x14ac:dyDescent="0.4">
      <c r="A40" s="10">
        <f t="shared" si="3"/>
        <v>26.599999999999998</v>
      </c>
      <c r="B40" s="11">
        <v>2.83248006016359</v>
      </c>
      <c r="C40" s="10">
        <v>2.6599999999999999E-2</v>
      </c>
    </row>
    <row r="41" spans="1:3" x14ac:dyDescent="0.4">
      <c r="A41" s="10">
        <f t="shared" si="3"/>
        <v>27.599999999999998</v>
      </c>
      <c r="B41" s="13">
        <v>2.7905918605161002</v>
      </c>
      <c r="C41" s="12">
        <v>2.76E-2</v>
      </c>
    </row>
    <row r="42" spans="1:3" x14ac:dyDescent="0.4">
      <c r="A42" s="10">
        <f t="shared" si="3"/>
        <v>28.6</v>
      </c>
      <c r="B42" s="11">
        <v>2.7493231255188202</v>
      </c>
      <c r="C42" s="10">
        <v>2.86E-2</v>
      </c>
    </row>
    <row r="43" spans="1:3" x14ac:dyDescent="0.4">
      <c r="A43" s="10">
        <f t="shared" si="3"/>
        <v>29.6</v>
      </c>
      <c r="B43" s="13">
        <v>2.7086646942038399</v>
      </c>
      <c r="C43" s="12">
        <v>2.9600000000000001E-2</v>
      </c>
    </row>
    <row r="44" spans="1:3" x14ac:dyDescent="0.4">
      <c r="A44" s="10">
        <f t="shared" si="3"/>
        <v>30.599999999999998</v>
      </c>
      <c r="B44" s="11">
        <v>2.66860754108045</v>
      </c>
      <c r="C44" s="10">
        <v>3.0599999999999999E-2</v>
      </c>
    </row>
    <row r="45" spans="1:3" x14ac:dyDescent="0.4">
      <c r="A45" s="10">
        <f t="shared" si="3"/>
        <v>31.6</v>
      </c>
      <c r="B45" s="13">
        <v>2.6291427741316098</v>
      </c>
      <c r="C45" s="12">
        <v>3.1600000000000003E-2</v>
      </c>
    </row>
    <row r="46" spans="1:3" x14ac:dyDescent="0.4">
      <c r="A46" s="10">
        <f t="shared" si="3"/>
        <v>32.599999999999994</v>
      </c>
      <c r="B46" s="11">
        <v>2.5902616328400998</v>
      </c>
      <c r="C46" s="10">
        <v>3.2599999999999997E-2</v>
      </c>
    </row>
    <row r="47" spans="1:3" x14ac:dyDescent="0.4">
      <c r="A47" s="10">
        <f t="shared" si="3"/>
        <v>33.6</v>
      </c>
      <c r="B47" s="13">
        <v>2.5519554862438301</v>
      </c>
      <c r="C47" s="12">
        <v>3.3599999999999998E-2</v>
      </c>
    </row>
    <row r="48" spans="1:3" x14ac:dyDescent="0.4">
      <c r="A48" s="10">
        <f t="shared" si="3"/>
        <v>34.6</v>
      </c>
      <c r="B48" s="11">
        <v>2.5142158310198699</v>
      </c>
      <c r="C48" s="10">
        <v>3.4599999999999999E-2</v>
      </c>
    </row>
    <row r="49" spans="1:3" x14ac:dyDescent="0.4">
      <c r="A49" s="10">
        <f t="shared" si="3"/>
        <v>35.6</v>
      </c>
      <c r="B49" s="13">
        <v>2.4770342895969302</v>
      </c>
      <c r="C49" s="12">
        <v>3.56E-2</v>
      </c>
    </row>
    <row r="50" spans="1:3" x14ac:dyDescent="0.4">
      <c r="A50" s="10">
        <f t="shared" si="3"/>
        <v>36.6</v>
      </c>
      <c r="B50" s="11">
        <v>2.4404026082955799</v>
      </c>
      <c r="C50" s="10">
        <v>3.6600000000000001E-2</v>
      </c>
    </row>
    <row r="51" spans="1:3" x14ac:dyDescent="0.4">
      <c r="A51" s="10">
        <f t="shared" si="3"/>
        <v>37.6</v>
      </c>
      <c r="B51" s="13">
        <v>2.40431265549618</v>
      </c>
      <c r="C51" s="12">
        <v>3.7600000000000001E-2</v>
      </c>
    </row>
    <row r="52" spans="1:3" x14ac:dyDescent="0.4">
      <c r="A52" s="10">
        <f t="shared" si="3"/>
        <v>38.6</v>
      </c>
      <c r="B52" s="11">
        <v>2.3687564198337099</v>
      </c>
      <c r="C52" s="10">
        <v>3.8600000000000002E-2</v>
      </c>
    </row>
    <row r="53" spans="1:3" x14ac:dyDescent="0.4">
      <c r="A53" s="10">
        <f t="shared" si="3"/>
        <v>39.6</v>
      </c>
      <c r="B53" s="13">
        <v>2.33372600841943</v>
      </c>
      <c r="C53" s="12">
        <v>3.9600000000000003E-2</v>
      </c>
    </row>
    <row r="54" spans="1:3" x14ac:dyDescent="0.4">
      <c r="A54" s="10">
        <f t="shared" si="3"/>
        <v>40.599999999999994</v>
      </c>
      <c r="B54" s="11">
        <v>2.2992136450887601</v>
      </c>
      <c r="C54" s="10">
        <v>4.0599999999999997E-2</v>
      </c>
    </row>
    <row r="55" spans="1:3" x14ac:dyDescent="0.4">
      <c r="A55" s="10">
        <f t="shared" si="3"/>
        <v>41.6</v>
      </c>
      <c r="B55" s="13">
        <v>2.2652116686751498</v>
      </c>
      <c r="C55" s="12">
        <v>4.1599999999999998E-2</v>
      </c>
    </row>
    <row r="56" spans="1:3" x14ac:dyDescent="0.4">
      <c r="A56" s="10">
        <f t="shared" si="3"/>
        <v>42.6</v>
      </c>
      <c r="B56" s="11">
        <v>2.2317125313093502</v>
      </c>
      <c r="C56" s="10">
        <v>4.2599999999999999E-2</v>
      </c>
    </row>
    <row r="57" spans="1:3" x14ac:dyDescent="0.4">
      <c r="A57" s="10">
        <f t="shared" si="3"/>
        <v>43.6</v>
      </c>
      <c r="B57" s="13">
        <v>2.198708796744</v>
      </c>
      <c r="C57" s="12">
        <v>4.36E-2</v>
      </c>
    </row>
    <row r="58" spans="1:3" x14ac:dyDescent="0.4">
      <c r="A58" s="10">
        <f t="shared" si="3"/>
        <v>44.6</v>
      </c>
      <c r="B58" s="11">
        <v>2.1661931387028202</v>
      </c>
      <c r="C58" s="10">
        <v>4.4600000000000001E-2</v>
      </c>
    </row>
    <row r="59" spans="1:3" x14ac:dyDescent="0.4">
      <c r="A59" s="10">
        <f t="shared" si="3"/>
        <v>45.6</v>
      </c>
      <c r="B59" s="13">
        <v>2.1341583392543901</v>
      </c>
      <c r="C59" s="12">
        <v>4.5600000000000002E-2</v>
      </c>
    </row>
    <row r="60" spans="1:3" x14ac:dyDescent="0.4">
      <c r="A60" s="10">
        <f t="shared" si="3"/>
        <v>46.6</v>
      </c>
      <c r="B60" s="11">
        <v>2.1025972872098202</v>
      </c>
      <c r="C60" s="10">
        <v>4.6600000000000003E-2</v>
      </c>
    </row>
    <row r="61" spans="1:3" x14ac:dyDescent="0.4">
      <c r="A61" s="10">
        <f t="shared" si="3"/>
        <v>47.6</v>
      </c>
      <c r="B61" s="13">
        <v>2.0715029765441901</v>
      </c>
      <c r="C61" s="12">
        <v>4.7600000000000003E-2</v>
      </c>
    </row>
    <row r="62" spans="1:3" x14ac:dyDescent="0.4">
      <c r="A62" s="10">
        <f t="shared" si="3"/>
        <v>48.599999999999994</v>
      </c>
      <c r="B62" s="11">
        <v>2.0408685048413799</v>
      </c>
      <c r="C62" s="10">
        <v>4.8599999999999997E-2</v>
      </c>
    </row>
    <row r="63" spans="1:3" x14ac:dyDescent="0.4">
      <c r="A63" s="10">
        <f t="shared" si="3"/>
        <v>49.6</v>
      </c>
      <c r="B63" s="13">
        <v>2.0106870717617902</v>
      </c>
      <c r="C63" s="12">
        <v>4.9599999999999998E-2</v>
      </c>
    </row>
    <row r="64" spans="1:3" x14ac:dyDescent="0.4">
      <c r="A64" s="10">
        <f t="shared" si="3"/>
        <v>50.6</v>
      </c>
      <c r="B64" s="11">
        <v>1.9809519775328399</v>
      </c>
      <c r="C64" s="10">
        <v>5.0599999999999999E-2</v>
      </c>
    </row>
    <row r="65" spans="1:3" x14ac:dyDescent="0.4">
      <c r="A65" s="10">
        <f t="shared" si="3"/>
        <v>51.6</v>
      </c>
      <c r="B65" s="13">
        <v>1.95165662146166</v>
      </c>
      <c r="C65" s="12">
        <v>5.16E-2</v>
      </c>
    </row>
    <row r="66" spans="1:3" x14ac:dyDescent="0.4">
      <c r="A66" s="10">
        <f t="shared" si="3"/>
        <v>52.6</v>
      </c>
      <c r="B66" s="11">
        <v>1.9227945004699201</v>
      </c>
      <c r="C66" s="10">
        <v>5.2600000000000001E-2</v>
      </c>
    </row>
    <row r="67" spans="1:3" x14ac:dyDescent="0.4">
      <c r="A67" s="10">
        <f t="shared" si="3"/>
        <v>53.6</v>
      </c>
      <c r="B67" s="13">
        <v>1.8943592076502</v>
      </c>
      <c r="C67" s="12">
        <v>5.3600000000000002E-2</v>
      </c>
    </row>
    <row r="68" spans="1:3" x14ac:dyDescent="0.4">
      <c r="A68" s="10">
        <f t="shared" si="3"/>
        <v>54.6</v>
      </c>
      <c r="B68" s="11">
        <v>1.86634443084377</v>
      </c>
      <c r="C68" s="10">
        <v>5.4600000000000003E-2</v>
      </c>
    </row>
    <row r="69" spans="1:3" x14ac:dyDescent="0.4">
      <c r="A69" s="10">
        <f t="shared" si="3"/>
        <v>55.599999999999994</v>
      </c>
      <c r="B69" s="13">
        <v>1.8387439512394601</v>
      </c>
      <c r="C69" s="12">
        <v>5.5599999999999997E-2</v>
      </c>
    </row>
    <row r="70" spans="1:3" x14ac:dyDescent="0.4">
      <c r="A70" s="10">
        <f t="shared" si="3"/>
        <v>56.599999999999994</v>
      </c>
      <c r="B70" s="11">
        <v>1.8115516419930899</v>
      </c>
      <c r="C70" s="10">
        <v>5.6599999999999998E-2</v>
      </c>
    </row>
    <row r="71" spans="1:3" x14ac:dyDescent="0.4">
      <c r="A71" s="10">
        <f t="shared" si="3"/>
        <v>57.6</v>
      </c>
      <c r="B71" s="13">
        <v>1.78476146686749</v>
      </c>
      <c r="C71" s="12">
        <v>5.7599999999999998E-2</v>
      </c>
    </row>
    <row r="72" spans="1:3" x14ac:dyDescent="0.4">
      <c r="A72" s="10">
        <f t="shared" si="3"/>
        <v>58.6</v>
      </c>
      <c r="B72" s="11">
        <v>1.7583674788925201</v>
      </c>
      <c r="C72" s="10">
        <v>5.8599999999999999E-2</v>
      </c>
    </row>
    <row r="73" spans="1:3" x14ac:dyDescent="0.4">
      <c r="A73" s="10">
        <f t="shared" si="3"/>
        <v>59.6</v>
      </c>
      <c r="B73" s="13">
        <v>1.73236381904495</v>
      </c>
      <c r="C73" s="12">
        <v>5.96E-2</v>
      </c>
    </row>
    <row r="74" spans="1:3" x14ac:dyDescent="0.4">
      <c r="A74" s="10">
        <f t="shared" si="3"/>
        <v>60.6</v>
      </c>
      <c r="B74" s="11">
        <v>1.7067447149478701</v>
      </c>
      <c r="C74" s="10">
        <v>6.0600000000000001E-2</v>
      </c>
    </row>
    <row r="75" spans="1:3" x14ac:dyDescent="0.4">
      <c r="A75" s="10">
        <f t="shared" ref="A75:A114" si="4">C75*1000</f>
        <v>61.6</v>
      </c>
      <c r="B75" s="13">
        <v>1.68150447958928</v>
      </c>
      <c r="C75" s="12">
        <v>6.1600000000000002E-2</v>
      </c>
    </row>
    <row r="76" spans="1:3" x14ac:dyDescent="0.4">
      <c r="A76" s="10">
        <f t="shared" si="4"/>
        <v>62.6</v>
      </c>
      <c r="B76" s="11">
        <v>1.6566375100597099</v>
      </c>
      <c r="C76" s="10">
        <v>6.2600000000000003E-2</v>
      </c>
    </row>
    <row r="77" spans="1:3" x14ac:dyDescent="0.4">
      <c r="A77" s="10">
        <f t="shared" si="4"/>
        <v>63.6</v>
      </c>
      <c r="B77" s="13">
        <v>1.6321382863084599</v>
      </c>
      <c r="C77" s="12">
        <v>6.3600000000000004E-2</v>
      </c>
    </row>
    <row r="78" spans="1:3" x14ac:dyDescent="0.4">
      <c r="A78" s="10">
        <f t="shared" si="4"/>
        <v>64.600000000000009</v>
      </c>
      <c r="B78" s="11">
        <v>1.6080013699182101</v>
      </c>
      <c r="C78" s="10">
        <v>6.4600000000000005E-2</v>
      </c>
    </row>
    <row r="79" spans="1:3" x14ac:dyDescent="0.4">
      <c r="A79" s="10">
        <f t="shared" si="4"/>
        <v>65.600000000000009</v>
      </c>
      <c r="B79" s="13">
        <v>1.5842214028978301</v>
      </c>
      <c r="C79" s="12">
        <v>6.5600000000000006E-2</v>
      </c>
    </row>
    <row r="80" spans="1:3" x14ac:dyDescent="0.4">
      <c r="A80" s="10">
        <f t="shared" si="4"/>
        <v>66.600000000000009</v>
      </c>
      <c r="B80" s="11">
        <v>1.5607931064929501</v>
      </c>
      <c r="C80" s="10">
        <v>6.6600000000000006E-2</v>
      </c>
    </row>
    <row r="81" spans="1:3" x14ac:dyDescent="0.4">
      <c r="A81" s="10">
        <f t="shared" si="4"/>
        <v>67.599999999999994</v>
      </c>
      <c r="B81" s="13">
        <v>1.5377112800142001</v>
      </c>
      <c r="C81" s="12">
        <v>6.7599999999999993E-2</v>
      </c>
    </row>
    <row r="82" spans="1:3" x14ac:dyDescent="0.4">
      <c r="A82" s="10">
        <f t="shared" si="4"/>
        <v>68.599999999999994</v>
      </c>
      <c r="B82" s="11">
        <v>1.51497079968273</v>
      </c>
      <c r="C82" s="10">
        <v>6.8599999999999994E-2</v>
      </c>
    </row>
    <row r="83" spans="1:3" x14ac:dyDescent="0.4">
      <c r="A83" s="10">
        <f t="shared" si="4"/>
        <v>69.599999999999994</v>
      </c>
      <c r="B83" s="13">
        <v>1.4925666174928001</v>
      </c>
      <c r="C83" s="12">
        <v>6.9599999999999995E-2</v>
      </c>
    </row>
    <row r="84" spans="1:3" x14ac:dyDescent="0.4">
      <c r="A84" s="10">
        <f t="shared" si="4"/>
        <v>70.599999999999994</v>
      </c>
      <c r="B84" s="11">
        <v>1.47049376009125</v>
      </c>
      <c r="C84" s="10">
        <v>7.0599999999999996E-2</v>
      </c>
    </row>
    <row r="85" spans="1:3" x14ac:dyDescent="0.4">
      <c r="A85" s="10">
        <f t="shared" si="4"/>
        <v>71.599999999999994</v>
      </c>
      <c r="B85" s="13">
        <v>1.4487473276734599</v>
      </c>
      <c r="C85" s="12">
        <v>7.1599999999999997E-2</v>
      </c>
    </row>
    <row r="86" spans="1:3" x14ac:dyDescent="0.4">
      <c r="A86" s="10">
        <f t="shared" si="4"/>
        <v>72.599999999999994</v>
      </c>
      <c r="B86" s="11">
        <v>1.42732249289568</v>
      </c>
      <c r="C86" s="10">
        <v>7.2599999999999998E-2</v>
      </c>
    </row>
    <row r="87" spans="1:3" x14ac:dyDescent="0.4">
      <c r="A87" s="10">
        <f t="shared" si="4"/>
        <v>73.599999999999994</v>
      </c>
      <c r="B87" s="13">
        <v>1.40621449980346</v>
      </c>
      <c r="C87" s="12">
        <v>7.3599999999999999E-2</v>
      </c>
    </row>
    <row r="88" spans="1:3" x14ac:dyDescent="0.4">
      <c r="A88" s="10">
        <f t="shared" si="4"/>
        <v>74.599999999999994</v>
      </c>
      <c r="B88" s="11">
        <v>1.38541866277591</v>
      </c>
      <c r="C88" s="10">
        <v>7.46E-2</v>
      </c>
    </row>
    <row r="89" spans="1:3" x14ac:dyDescent="0.4">
      <c r="A89" s="10">
        <f t="shared" si="4"/>
        <v>75.599999999999994</v>
      </c>
      <c r="B89" s="13">
        <v>1.36493036548552</v>
      </c>
      <c r="C89" s="12">
        <v>7.5600000000000001E-2</v>
      </c>
    </row>
    <row r="90" spans="1:3" x14ac:dyDescent="0.4">
      <c r="A90" s="10">
        <f t="shared" si="4"/>
        <v>76.599999999999994</v>
      </c>
      <c r="B90" s="11">
        <v>1.34474505987349</v>
      </c>
      <c r="C90" s="10">
        <v>7.6600000000000001E-2</v>
      </c>
    </row>
    <row r="91" spans="1:3" x14ac:dyDescent="0.4">
      <c r="A91" s="10">
        <f t="shared" si="4"/>
        <v>77.600000000000009</v>
      </c>
      <c r="B91" s="13">
        <v>1.32485826514007</v>
      </c>
      <c r="C91" s="12">
        <v>7.7600000000000002E-2</v>
      </c>
    </row>
    <row r="92" spans="1:3" x14ac:dyDescent="0.4">
      <c r="A92" s="10">
        <f t="shared" si="4"/>
        <v>78.600000000000009</v>
      </c>
      <c r="B92" s="11">
        <v>1.30526556674995</v>
      </c>
      <c r="C92" s="10">
        <v>7.8600000000000003E-2</v>
      </c>
    </row>
    <row r="93" spans="1:3" x14ac:dyDescent="0.4">
      <c r="A93" s="10">
        <f t="shared" si="4"/>
        <v>79.600000000000009</v>
      </c>
      <c r="B93" s="13">
        <v>1.2859626154522601</v>
      </c>
      <c r="C93" s="12">
        <v>7.9600000000000004E-2</v>
      </c>
    </row>
    <row r="94" spans="1:3" x14ac:dyDescent="0.4">
      <c r="A94" s="10">
        <f t="shared" si="4"/>
        <v>80.600000000000009</v>
      </c>
      <c r="B94" s="11">
        <v>1.2669451263151399</v>
      </c>
      <c r="C94" s="10">
        <v>8.0600000000000005E-2</v>
      </c>
    </row>
    <row r="95" spans="1:3" x14ac:dyDescent="0.4">
      <c r="A95" s="10">
        <f t="shared" si="4"/>
        <v>81.600000000000009</v>
      </c>
      <c r="B95" s="13">
        <v>1.2482088777745399</v>
      </c>
      <c r="C95" s="12">
        <v>8.1600000000000006E-2</v>
      </c>
    </row>
    <row r="96" spans="1:3" x14ac:dyDescent="0.4">
      <c r="A96" s="10">
        <f t="shared" si="4"/>
        <v>82.600000000000009</v>
      </c>
      <c r="B96" s="11">
        <v>1.22974971069713</v>
      </c>
      <c r="C96" s="10">
        <v>8.2600000000000007E-2</v>
      </c>
    </row>
    <row r="97" spans="1:3" x14ac:dyDescent="0.4">
      <c r="A97" s="10">
        <f t="shared" si="4"/>
        <v>83.6</v>
      </c>
      <c r="B97" s="13">
        <v>1.21156352745701</v>
      </c>
      <c r="C97" s="12">
        <v>8.3599999999999994E-2</v>
      </c>
    </row>
    <row r="98" spans="1:3" x14ac:dyDescent="0.4">
      <c r="A98" s="10">
        <f t="shared" si="4"/>
        <v>84.6</v>
      </c>
      <c r="B98" s="11">
        <v>1.1936462910261101</v>
      </c>
      <c r="C98" s="10">
        <v>8.4599999999999995E-2</v>
      </c>
    </row>
    <row r="99" spans="1:3" x14ac:dyDescent="0.4">
      <c r="A99" s="10">
        <f t="shared" si="4"/>
        <v>85.6</v>
      </c>
      <c r="B99" s="13">
        <v>1.17599402407808</v>
      </c>
      <c r="C99" s="12">
        <v>8.5599999999999996E-2</v>
      </c>
    </row>
    <row r="100" spans="1:3" x14ac:dyDescent="0.4">
      <c r="A100" s="10">
        <f t="shared" si="4"/>
        <v>86.6</v>
      </c>
      <c r="B100" s="11">
        <v>1.1586028081053199</v>
      </c>
      <c r="C100" s="10">
        <v>8.6599999999999996E-2</v>
      </c>
    </row>
    <row r="101" spans="1:3" x14ac:dyDescent="0.4">
      <c r="A101" s="10">
        <f t="shared" si="4"/>
        <v>87.6</v>
      </c>
      <c r="B101" s="13">
        <v>1.14146878254919</v>
      </c>
      <c r="C101" s="12">
        <v>8.7599999999999997E-2</v>
      </c>
    </row>
    <row r="102" spans="1:3" x14ac:dyDescent="0.4">
      <c r="A102" s="10">
        <f t="shared" si="4"/>
        <v>88.6</v>
      </c>
      <c r="B102" s="11">
        <v>1.1245881439430201</v>
      </c>
      <c r="C102" s="10">
        <v>8.8599999999999998E-2</v>
      </c>
    </row>
    <row r="103" spans="1:3" x14ac:dyDescent="0.4">
      <c r="A103" s="10">
        <f t="shared" si="4"/>
        <v>89.6</v>
      </c>
      <c r="B103" s="13">
        <v>1.1079571450677901</v>
      </c>
      <c r="C103" s="12">
        <v>8.9599999999999999E-2</v>
      </c>
    </row>
    <row r="104" spans="1:3" x14ac:dyDescent="0.4">
      <c r="A104" s="10">
        <f t="shared" si="4"/>
        <v>90.6</v>
      </c>
      <c r="B104" s="11">
        <v>1.09157209412032</v>
      </c>
      <c r="C104" s="10">
        <v>9.06E-2</v>
      </c>
    </row>
    <row r="105" spans="1:3" x14ac:dyDescent="0.4">
      <c r="A105" s="10">
        <f t="shared" si="4"/>
        <v>91.6</v>
      </c>
      <c r="B105" s="13">
        <v>1.07542935389376</v>
      </c>
      <c r="C105" s="12">
        <v>9.1600000000000001E-2</v>
      </c>
    </row>
    <row r="106" spans="1:3" x14ac:dyDescent="0.4">
      <c r="A106" s="10">
        <f t="shared" si="4"/>
        <v>92.600000000000009</v>
      </c>
      <c r="B106" s="11">
        <v>1.0595253409701599</v>
      </c>
      <c r="C106" s="10">
        <v>9.2600000000000002E-2</v>
      </c>
    </row>
    <row r="107" spans="1:3" x14ac:dyDescent="0.4">
      <c r="A107" s="10">
        <f t="shared" si="4"/>
        <v>93.600000000000009</v>
      </c>
      <c r="B107" s="13">
        <v>1.04385652492505</v>
      </c>
      <c r="C107" s="12">
        <v>9.3600000000000003E-2</v>
      </c>
    </row>
    <row r="108" spans="1:3" x14ac:dyDescent="0.4">
      <c r="A108" s="10">
        <f t="shared" si="4"/>
        <v>94.600000000000009</v>
      </c>
      <c r="B108" s="11">
        <v>1.0284194275437299</v>
      </c>
      <c r="C108" s="10">
        <v>9.4600000000000004E-2</v>
      </c>
    </row>
    <row r="109" spans="1:3" x14ac:dyDescent="0.4">
      <c r="A109" s="10">
        <f t="shared" si="4"/>
        <v>95.600000000000009</v>
      </c>
      <c r="B109" s="13">
        <v>1.0132106220491399</v>
      </c>
      <c r="C109" s="12">
        <v>9.5600000000000004E-2</v>
      </c>
    </row>
    <row r="110" spans="1:3" x14ac:dyDescent="0.4">
      <c r="A110" s="10">
        <f t="shared" si="4"/>
        <v>96.600000000000009</v>
      </c>
      <c r="B110" s="11">
        <v>0.99822673234123505</v>
      </c>
      <c r="C110" s="10">
        <v>9.6600000000000005E-2</v>
      </c>
    </row>
    <row r="111" spans="1:3" x14ac:dyDescent="0.4">
      <c r="A111" s="10">
        <f t="shared" si="4"/>
        <v>97.600000000000009</v>
      </c>
      <c r="B111" s="13">
        <v>0.98346443224745805</v>
      </c>
      <c r="C111" s="12">
        <v>9.7600000000000006E-2</v>
      </c>
    </row>
    <row r="112" spans="1:3" x14ac:dyDescent="0.4">
      <c r="A112" s="10">
        <f t="shared" si="4"/>
        <v>98.6</v>
      </c>
      <c r="B112" s="11">
        <v>0.96892044478446704</v>
      </c>
      <c r="C112" s="10">
        <v>9.8599999999999993E-2</v>
      </c>
    </row>
    <row r="113" spans="1:3" x14ac:dyDescent="0.4">
      <c r="A113" s="10">
        <f t="shared" si="4"/>
        <v>99.6</v>
      </c>
      <c r="B113" s="13">
        <v>0.95459154143065905</v>
      </c>
      <c r="C113" s="12">
        <v>9.9599999999999994E-2</v>
      </c>
    </row>
    <row r="114" spans="1:3" x14ac:dyDescent="0.4">
      <c r="A114" s="10">
        <f t="shared" si="4"/>
        <v>100</v>
      </c>
      <c r="B114" s="11">
        <v>0.94891957742929001</v>
      </c>
      <c r="C114" s="10">
        <v>0.1</v>
      </c>
    </row>
  </sheetData>
  <mergeCells count="1">
    <mergeCell ref="B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F797-79B7-4CC9-903D-C20C6893ECFE}">
  <dimension ref="A1:B112"/>
  <sheetViews>
    <sheetView topLeftCell="A96" workbookViewId="0">
      <selection activeCell="A8" sqref="A8:B112"/>
    </sheetView>
  </sheetViews>
  <sheetFormatPr defaultRowHeight="14.6" x14ac:dyDescent="0.4"/>
  <cols>
    <col min="1" max="2" width="24.07421875" bestFit="1" customWidth="1"/>
  </cols>
  <sheetData>
    <row r="1" spans="1:2" x14ac:dyDescent="0.4">
      <c r="A1" t="s">
        <v>6</v>
      </c>
      <c r="B1" t="s">
        <v>7</v>
      </c>
    </row>
    <row r="2" spans="1:2" x14ac:dyDescent="0.4">
      <c r="A2" s="9" t="s">
        <v>8</v>
      </c>
      <c r="B2" s="9" t="s">
        <v>8</v>
      </c>
    </row>
    <row r="3" spans="1:2" x14ac:dyDescent="0.4">
      <c r="A3" s="9" t="s">
        <v>9</v>
      </c>
      <c r="B3" s="9" t="s">
        <v>8</v>
      </c>
    </row>
    <row r="4" spans="1:2" x14ac:dyDescent="0.4">
      <c r="A4" s="9" t="s">
        <v>10</v>
      </c>
      <c r="B4" s="9" t="s">
        <v>8</v>
      </c>
    </row>
    <row r="5" spans="1:2" x14ac:dyDescent="0.4">
      <c r="A5" s="9" t="s">
        <v>11</v>
      </c>
      <c r="B5" s="9" t="s">
        <v>8</v>
      </c>
    </row>
    <row r="6" spans="1:2" x14ac:dyDescent="0.4">
      <c r="A6" s="9" t="s">
        <v>12</v>
      </c>
      <c r="B6" s="9" t="s">
        <v>8</v>
      </c>
    </row>
    <row r="7" spans="1:2" x14ac:dyDescent="0.4">
      <c r="A7" s="9" t="s">
        <v>13</v>
      </c>
      <c r="B7" s="9" t="s">
        <v>14</v>
      </c>
    </row>
    <row r="8" spans="1:2" x14ac:dyDescent="0.4">
      <c r="A8" s="9" t="s">
        <v>15</v>
      </c>
      <c r="B8" s="9" t="s">
        <v>16</v>
      </c>
    </row>
    <row r="9" spans="1:2" x14ac:dyDescent="0.4">
      <c r="A9" s="9" t="s">
        <v>17</v>
      </c>
      <c r="B9" s="9" t="s">
        <v>18</v>
      </c>
    </row>
    <row r="10" spans="1:2" x14ac:dyDescent="0.4">
      <c r="A10" s="9" t="s">
        <v>19</v>
      </c>
      <c r="B10" s="9" t="s">
        <v>20</v>
      </c>
    </row>
    <row r="11" spans="1:2" x14ac:dyDescent="0.4">
      <c r="A11" s="9" t="s">
        <v>21</v>
      </c>
      <c r="B11" s="9" t="s">
        <v>22</v>
      </c>
    </row>
    <row r="12" spans="1:2" x14ac:dyDescent="0.4">
      <c r="A12" s="9" t="s">
        <v>23</v>
      </c>
      <c r="B12" s="9" t="s">
        <v>24</v>
      </c>
    </row>
    <row r="13" spans="1:2" x14ac:dyDescent="0.4">
      <c r="A13" s="9" t="s">
        <v>25</v>
      </c>
      <c r="B13" s="9" t="s">
        <v>26</v>
      </c>
    </row>
    <row r="14" spans="1:2" x14ac:dyDescent="0.4">
      <c r="A14" s="9" t="s">
        <v>27</v>
      </c>
      <c r="B14" s="9" t="s">
        <v>28</v>
      </c>
    </row>
    <row r="15" spans="1:2" x14ac:dyDescent="0.4">
      <c r="A15" s="9" t="s">
        <v>29</v>
      </c>
      <c r="B15" s="9" t="s">
        <v>30</v>
      </c>
    </row>
    <row r="16" spans="1:2" x14ac:dyDescent="0.4">
      <c r="A16" s="9" t="s">
        <v>31</v>
      </c>
      <c r="B16" s="9" t="s">
        <v>32</v>
      </c>
    </row>
    <row r="17" spans="1:2" x14ac:dyDescent="0.4">
      <c r="A17" s="9" t="s">
        <v>33</v>
      </c>
      <c r="B17" s="9" t="s">
        <v>34</v>
      </c>
    </row>
    <row r="18" spans="1:2" x14ac:dyDescent="0.4">
      <c r="A18" s="9" t="s">
        <v>35</v>
      </c>
      <c r="B18" s="9" t="s">
        <v>36</v>
      </c>
    </row>
    <row r="19" spans="1:2" x14ac:dyDescent="0.4">
      <c r="A19" s="9" t="s">
        <v>37</v>
      </c>
      <c r="B19" s="9" t="s">
        <v>38</v>
      </c>
    </row>
    <row r="20" spans="1:2" x14ac:dyDescent="0.4">
      <c r="A20" s="9" t="s">
        <v>39</v>
      </c>
      <c r="B20" s="9" t="s">
        <v>40</v>
      </c>
    </row>
    <row r="21" spans="1:2" x14ac:dyDescent="0.4">
      <c r="A21" s="9" t="s">
        <v>41</v>
      </c>
      <c r="B21" s="9" t="s">
        <v>42</v>
      </c>
    </row>
    <row r="22" spans="1:2" x14ac:dyDescent="0.4">
      <c r="A22" s="9" t="s">
        <v>43</v>
      </c>
      <c r="B22" s="9" t="s">
        <v>44</v>
      </c>
    </row>
    <row r="23" spans="1:2" x14ac:dyDescent="0.4">
      <c r="A23" s="9" t="s">
        <v>45</v>
      </c>
      <c r="B23" s="9" t="s">
        <v>46</v>
      </c>
    </row>
    <row r="24" spans="1:2" x14ac:dyDescent="0.4">
      <c r="A24" s="9" t="s">
        <v>47</v>
      </c>
      <c r="B24" s="9" t="s">
        <v>48</v>
      </c>
    </row>
    <row r="25" spans="1:2" x14ac:dyDescent="0.4">
      <c r="A25" s="9" t="s">
        <v>49</v>
      </c>
      <c r="B25" s="9" t="s">
        <v>50</v>
      </c>
    </row>
    <row r="26" spans="1:2" x14ac:dyDescent="0.4">
      <c r="A26" s="9" t="s">
        <v>51</v>
      </c>
      <c r="B26" s="9" t="s">
        <v>52</v>
      </c>
    </row>
    <row r="27" spans="1:2" x14ac:dyDescent="0.4">
      <c r="A27" s="9" t="s">
        <v>53</v>
      </c>
      <c r="B27" s="9" t="s">
        <v>54</v>
      </c>
    </row>
    <row r="28" spans="1:2" x14ac:dyDescent="0.4">
      <c r="A28" s="9" t="s">
        <v>55</v>
      </c>
      <c r="B28" s="9" t="s">
        <v>56</v>
      </c>
    </row>
    <row r="29" spans="1:2" x14ac:dyDescent="0.4">
      <c r="A29" s="9" t="s">
        <v>57</v>
      </c>
      <c r="B29" s="9" t="s">
        <v>58</v>
      </c>
    </row>
    <row r="30" spans="1:2" x14ac:dyDescent="0.4">
      <c r="A30" s="9" t="s">
        <v>59</v>
      </c>
      <c r="B30" s="9" t="s">
        <v>60</v>
      </c>
    </row>
    <row r="31" spans="1:2" x14ac:dyDescent="0.4">
      <c r="A31" s="9" t="s">
        <v>61</v>
      </c>
      <c r="B31" s="9" t="s">
        <v>62</v>
      </c>
    </row>
    <row r="32" spans="1:2" x14ac:dyDescent="0.4">
      <c r="A32" s="9" t="s">
        <v>63</v>
      </c>
      <c r="B32" s="9" t="s">
        <v>64</v>
      </c>
    </row>
    <row r="33" spans="1:2" x14ac:dyDescent="0.4">
      <c r="A33" s="9" t="s">
        <v>65</v>
      </c>
      <c r="B33" s="9" t="s">
        <v>66</v>
      </c>
    </row>
    <row r="34" spans="1:2" x14ac:dyDescent="0.4">
      <c r="A34" s="9" t="s">
        <v>67</v>
      </c>
      <c r="B34" s="9" t="s">
        <v>68</v>
      </c>
    </row>
    <row r="35" spans="1:2" x14ac:dyDescent="0.4">
      <c r="A35" s="9" t="s">
        <v>69</v>
      </c>
      <c r="B35" s="9" t="s">
        <v>70</v>
      </c>
    </row>
    <row r="36" spans="1:2" x14ac:dyDescent="0.4">
      <c r="A36" s="9" t="s">
        <v>71</v>
      </c>
      <c r="B36" s="9" t="s">
        <v>72</v>
      </c>
    </row>
    <row r="37" spans="1:2" x14ac:dyDescent="0.4">
      <c r="A37" s="9" t="s">
        <v>73</v>
      </c>
      <c r="B37" s="9" t="s">
        <v>74</v>
      </c>
    </row>
    <row r="38" spans="1:2" x14ac:dyDescent="0.4">
      <c r="A38" s="9" t="s">
        <v>75</v>
      </c>
      <c r="B38" s="9" t="s">
        <v>76</v>
      </c>
    </row>
    <row r="39" spans="1:2" x14ac:dyDescent="0.4">
      <c r="A39" s="9" t="s">
        <v>77</v>
      </c>
      <c r="B39" s="9" t="s">
        <v>78</v>
      </c>
    </row>
    <row r="40" spans="1:2" x14ac:dyDescent="0.4">
      <c r="A40" s="9" t="s">
        <v>79</v>
      </c>
      <c r="B40" s="9" t="s">
        <v>80</v>
      </c>
    </row>
    <row r="41" spans="1:2" x14ac:dyDescent="0.4">
      <c r="A41" s="9" t="s">
        <v>81</v>
      </c>
      <c r="B41" s="9" t="s">
        <v>82</v>
      </c>
    </row>
    <row r="42" spans="1:2" x14ac:dyDescent="0.4">
      <c r="A42" s="9" t="s">
        <v>83</v>
      </c>
      <c r="B42" s="9" t="s">
        <v>84</v>
      </c>
    </row>
    <row r="43" spans="1:2" x14ac:dyDescent="0.4">
      <c r="A43" s="9" t="s">
        <v>85</v>
      </c>
      <c r="B43" s="9" t="s">
        <v>86</v>
      </c>
    </row>
    <row r="44" spans="1:2" x14ac:dyDescent="0.4">
      <c r="A44" s="9" t="s">
        <v>87</v>
      </c>
      <c r="B44" s="9" t="s">
        <v>88</v>
      </c>
    </row>
    <row r="45" spans="1:2" x14ac:dyDescent="0.4">
      <c r="A45" s="9" t="s">
        <v>89</v>
      </c>
      <c r="B45" s="9" t="s">
        <v>90</v>
      </c>
    </row>
    <row r="46" spans="1:2" x14ac:dyDescent="0.4">
      <c r="A46" s="9" t="s">
        <v>91</v>
      </c>
      <c r="B46" s="9" t="s">
        <v>92</v>
      </c>
    </row>
    <row r="47" spans="1:2" x14ac:dyDescent="0.4">
      <c r="A47" s="9" t="s">
        <v>93</v>
      </c>
      <c r="B47" s="9" t="s">
        <v>94</v>
      </c>
    </row>
    <row r="48" spans="1:2" x14ac:dyDescent="0.4">
      <c r="A48" s="9" t="s">
        <v>95</v>
      </c>
      <c r="B48" s="9" t="s">
        <v>96</v>
      </c>
    </row>
    <row r="49" spans="1:2" x14ac:dyDescent="0.4">
      <c r="A49" s="9" t="s">
        <v>97</v>
      </c>
      <c r="B49" s="9" t="s">
        <v>98</v>
      </c>
    </row>
    <row r="50" spans="1:2" x14ac:dyDescent="0.4">
      <c r="A50" s="9" t="s">
        <v>99</v>
      </c>
      <c r="B50" s="9" t="s">
        <v>100</v>
      </c>
    </row>
    <row r="51" spans="1:2" x14ac:dyDescent="0.4">
      <c r="A51" s="9" t="s">
        <v>101</v>
      </c>
      <c r="B51" s="9" t="s">
        <v>102</v>
      </c>
    </row>
    <row r="52" spans="1:2" x14ac:dyDescent="0.4">
      <c r="A52" s="9" t="s">
        <v>103</v>
      </c>
      <c r="B52" s="9" t="s">
        <v>104</v>
      </c>
    </row>
    <row r="53" spans="1:2" x14ac:dyDescent="0.4">
      <c r="A53" s="9" t="s">
        <v>105</v>
      </c>
      <c r="B53" s="9" t="s">
        <v>106</v>
      </c>
    </row>
    <row r="54" spans="1:2" x14ac:dyDescent="0.4">
      <c r="A54" s="9" t="s">
        <v>107</v>
      </c>
      <c r="B54" s="9" t="s">
        <v>108</v>
      </c>
    </row>
    <row r="55" spans="1:2" x14ac:dyDescent="0.4">
      <c r="A55" s="9" t="s">
        <v>109</v>
      </c>
      <c r="B55" s="9" t="s">
        <v>110</v>
      </c>
    </row>
    <row r="56" spans="1:2" x14ac:dyDescent="0.4">
      <c r="A56" s="9" t="s">
        <v>111</v>
      </c>
      <c r="B56" s="9" t="s">
        <v>112</v>
      </c>
    </row>
    <row r="57" spans="1:2" x14ac:dyDescent="0.4">
      <c r="A57" s="9" t="s">
        <v>113</v>
      </c>
      <c r="B57" s="9" t="s">
        <v>114</v>
      </c>
    </row>
    <row r="58" spans="1:2" x14ac:dyDescent="0.4">
      <c r="A58" s="9" t="s">
        <v>115</v>
      </c>
      <c r="B58" s="9" t="s">
        <v>116</v>
      </c>
    </row>
    <row r="59" spans="1:2" x14ac:dyDescent="0.4">
      <c r="A59" s="9" t="s">
        <v>117</v>
      </c>
      <c r="B59" s="9" t="s">
        <v>118</v>
      </c>
    </row>
    <row r="60" spans="1:2" x14ac:dyDescent="0.4">
      <c r="A60" s="9" t="s">
        <v>119</v>
      </c>
      <c r="B60" s="9" t="s">
        <v>120</v>
      </c>
    </row>
    <row r="61" spans="1:2" x14ac:dyDescent="0.4">
      <c r="A61" s="9" t="s">
        <v>121</v>
      </c>
      <c r="B61" s="9" t="s">
        <v>122</v>
      </c>
    </row>
    <row r="62" spans="1:2" x14ac:dyDescent="0.4">
      <c r="A62" s="9" t="s">
        <v>123</v>
      </c>
      <c r="B62" s="9" t="s">
        <v>124</v>
      </c>
    </row>
    <row r="63" spans="1:2" x14ac:dyDescent="0.4">
      <c r="A63" s="9" t="s">
        <v>125</v>
      </c>
      <c r="B63" s="9" t="s">
        <v>126</v>
      </c>
    </row>
    <row r="64" spans="1:2" x14ac:dyDescent="0.4">
      <c r="A64" s="9" t="s">
        <v>127</v>
      </c>
      <c r="B64" s="9" t="s">
        <v>128</v>
      </c>
    </row>
    <row r="65" spans="1:2" x14ac:dyDescent="0.4">
      <c r="A65" s="9" t="s">
        <v>129</v>
      </c>
      <c r="B65" s="9" t="s">
        <v>130</v>
      </c>
    </row>
    <row r="66" spans="1:2" x14ac:dyDescent="0.4">
      <c r="A66" s="9" t="s">
        <v>131</v>
      </c>
      <c r="B66" s="9" t="s">
        <v>132</v>
      </c>
    </row>
    <row r="67" spans="1:2" x14ac:dyDescent="0.4">
      <c r="A67" s="9" t="s">
        <v>133</v>
      </c>
      <c r="B67" s="9" t="s">
        <v>134</v>
      </c>
    </row>
    <row r="68" spans="1:2" x14ac:dyDescent="0.4">
      <c r="A68" s="9" t="s">
        <v>135</v>
      </c>
      <c r="B68" s="9" t="s">
        <v>136</v>
      </c>
    </row>
    <row r="69" spans="1:2" x14ac:dyDescent="0.4">
      <c r="A69" s="9" t="s">
        <v>137</v>
      </c>
      <c r="B69" s="9" t="s">
        <v>138</v>
      </c>
    </row>
    <row r="70" spans="1:2" x14ac:dyDescent="0.4">
      <c r="A70" s="9" t="s">
        <v>139</v>
      </c>
      <c r="B70" s="9" t="s">
        <v>140</v>
      </c>
    </row>
    <row r="71" spans="1:2" x14ac:dyDescent="0.4">
      <c r="A71" s="9" t="s">
        <v>141</v>
      </c>
      <c r="B71" s="9" t="s">
        <v>142</v>
      </c>
    </row>
    <row r="72" spans="1:2" x14ac:dyDescent="0.4">
      <c r="A72" s="9" t="s">
        <v>143</v>
      </c>
      <c r="B72" s="9" t="s">
        <v>144</v>
      </c>
    </row>
    <row r="73" spans="1:2" x14ac:dyDescent="0.4">
      <c r="A73" s="9" t="s">
        <v>145</v>
      </c>
      <c r="B73" s="9" t="s">
        <v>146</v>
      </c>
    </row>
    <row r="74" spans="1:2" x14ac:dyDescent="0.4">
      <c r="A74" s="9" t="s">
        <v>147</v>
      </c>
      <c r="B74" s="9" t="s">
        <v>148</v>
      </c>
    </row>
    <row r="75" spans="1:2" x14ac:dyDescent="0.4">
      <c r="A75" s="9" t="s">
        <v>149</v>
      </c>
      <c r="B75" s="9" t="s">
        <v>150</v>
      </c>
    </row>
    <row r="76" spans="1:2" x14ac:dyDescent="0.4">
      <c r="A76" s="9" t="s">
        <v>151</v>
      </c>
      <c r="B76" s="9" t="s">
        <v>152</v>
      </c>
    </row>
    <row r="77" spans="1:2" x14ac:dyDescent="0.4">
      <c r="A77" s="9" t="s">
        <v>153</v>
      </c>
      <c r="B77" s="9" t="s">
        <v>154</v>
      </c>
    </row>
    <row r="78" spans="1:2" x14ac:dyDescent="0.4">
      <c r="A78" s="9" t="s">
        <v>155</v>
      </c>
      <c r="B78" s="9" t="s">
        <v>156</v>
      </c>
    </row>
    <row r="79" spans="1:2" x14ac:dyDescent="0.4">
      <c r="A79" s="9" t="s">
        <v>157</v>
      </c>
      <c r="B79" s="9" t="s">
        <v>158</v>
      </c>
    </row>
    <row r="80" spans="1:2" x14ac:dyDescent="0.4">
      <c r="A80" s="9" t="s">
        <v>159</v>
      </c>
      <c r="B80" s="9" t="s">
        <v>160</v>
      </c>
    </row>
    <row r="81" spans="1:2" x14ac:dyDescent="0.4">
      <c r="A81" s="9" t="s">
        <v>161</v>
      </c>
      <c r="B81" s="9" t="s">
        <v>162</v>
      </c>
    </row>
    <row r="82" spans="1:2" x14ac:dyDescent="0.4">
      <c r="A82" s="9" t="s">
        <v>163</v>
      </c>
      <c r="B82" s="9" t="s">
        <v>164</v>
      </c>
    </row>
    <row r="83" spans="1:2" x14ac:dyDescent="0.4">
      <c r="A83" s="9" t="s">
        <v>165</v>
      </c>
      <c r="B83" s="9" t="s">
        <v>166</v>
      </c>
    </row>
    <row r="84" spans="1:2" x14ac:dyDescent="0.4">
      <c r="A84" s="9" t="s">
        <v>167</v>
      </c>
      <c r="B84" s="9" t="s">
        <v>168</v>
      </c>
    </row>
    <row r="85" spans="1:2" x14ac:dyDescent="0.4">
      <c r="A85" s="9" t="s">
        <v>169</v>
      </c>
      <c r="B85" s="9" t="s">
        <v>170</v>
      </c>
    </row>
    <row r="86" spans="1:2" x14ac:dyDescent="0.4">
      <c r="A86" s="9" t="s">
        <v>171</v>
      </c>
      <c r="B86" s="9" t="s">
        <v>172</v>
      </c>
    </row>
    <row r="87" spans="1:2" x14ac:dyDescent="0.4">
      <c r="A87" s="9" t="s">
        <v>173</v>
      </c>
      <c r="B87" s="9" t="s">
        <v>174</v>
      </c>
    </row>
    <row r="88" spans="1:2" x14ac:dyDescent="0.4">
      <c r="A88" s="9" t="s">
        <v>175</v>
      </c>
      <c r="B88" s="9" t="s">
        <v>176</v>
      </c>
    </row>
    <row r="89" spans="1:2" x14ac:dyDescent="0.4">
      <c r="A89" s="9" t="s">
        <v>177</v>
      </c>
      <c r="B89" s="9" t="s">
        <v>178</v>
      </c>
    </row>
    <row r="90" spans="1:2" x14ac:dyDescent="0.4">
      <c r="A90" s="9" t="s">
        <v>179</v>
      </c>
      <c r="B90" s="9" t="s">
        <v>180</v>
      </c>
    </row>
    <row r="91" spans="1:2" x14ac:dyDescent="0.4">
      <c r="A91" s="9" t="s">
        <v>181</v>
      </c>
      <c r="B91" s="9" t="s">
        <v>182</v>
      </c>
    </row>
    <row r="92" spans="1:2" x14ac:dyDescent="0.4">
      <c r="A92" s="9" t="s">
        <v>183</v>
      </c>
      <c r="B92" s="9" t="s">
        <v>184</v>
      </c>
    </row>
    <row r="93" spans="1:2" x14ac:dyDescent="0.4">
      <c r="A93" s="9" t="s">
        <v>185</v>
      </c>
      <c r="B93" s="9" t="s">
        <v>186</v>
      </c>
    </row>
    <row r="94" spans="1:2" x14ac:dyDescent="0.4">
      <c r="A94" s="9" t="s">
        <v>187</v>
      </c>
      <c r="B94" s="9" t="s">
        <v>188</v>
      </c>
    </row>
    <row r="95" spans="1:2" x14ac:dyDescent="0.4">
      <c r="A95" s="9" t="s">
        <v>189</v>
      </c>
      <c r="B95" s="9" t="s">
        <v>190</v>
      </c>
    </row>
    <row r="96" spans="1:2" x14ac:dyDescent="0.4">
      <c r="A96" s="9" t="s">
        <v>191</v>
      </c>
      <c r="B96" s="9" t="s">
        <v>192</v>
      </c>
    </row>
    <row r="97" spans="1:2" x14ac:dyDescent="0.4">
      <c r="A97" s="9" t="s">
        <v>193</v>
      </c>
      <c r="B97" s="9" t="s">
        <v>194</v>
      </c>
    </row>
    <row r="98" spans="1:2" x14ac:dyDescent="0.4">
      <c r="A98" s="9" t="s">
        <v>195</v>
      </c>
      <c r="B98" s="9" t="s">
        <v>196</v>
      </c>
    </row>
    <row r="99" spans="1:2" x14ac:dyDescent="0.4">
      <c r="A99" s="9" t="s">
        <v>197</v>
      </c>
      <c r="B99" s="9" t="s">
        <v>198</v>
      </c>
    </row>
    <row r="100" spans="1:2" x14ac:dyDescent="0.4">
      <c r="A100" s="9" t="s">
        <v>199</v>
      </c>
      <c r="B100" s="9" t="s">
        <v>200</v>
      </c>
    </row>
    <row r="101" spans="1:2" x14ac:dyDescent="0.4">
      <c r="A101" s="9" t="s">
        <v>201</v>
      </c>
      <c r="B101" s="9" t="s">
        <v>202</v>
      </c>
    </row>
    <row r="102" spans="1:2" x14ac:dyDescent="0.4">
      <c r="A102" s="9" t="s">
        <v>203</v>
      </c>
      <c r="B102" s="9" t="s">
        <v>204</v>
      </c>
    </row>
    <row r="103" spans="1:2" x14ac:dyDescent="0.4">
      <c r="A103" s="9" t="s">
        <v>205</v>
      </c>
      <c r="B103" s="9" t="s">
        <v>206</v>
      </c>
    </row>
    <row r="104" spans="1:2" x14ac:dyDescent="0.4">
      <c r="A104" s="9" t="s">
        <v>207</v>
      </c>
      <c r="B104" s="9" t="s">
        <v>208</v>
      </c>
    </row>
    <row r="105" spans="1:2" x14ac:dyDescent="0.4">
      <c r="A105" s="9" t="s">
        <v>209</v>
      </c>
      <c r="B105" s="9" t="s">
        <v>210</v>
      </c>
    </row>
    <row r="106" spans="1:2" x14ac:dyDescent="0.4">
      <c r="A106" s="9" t="s">
        <v>211</v>
      </c>
      <c r="B106" s="9" t="s">
        <v>212</v>
      </c>
    </row>
    <row r="107" spans="1:2" x14ac:dyDescent="0.4">
      <c r="A107" s="9" t="s">
        <v>213</v>
      </c>
      <c r="B107" s="9" t="s">
        <v>214</v>
      </c>
    </row>
    <row r="108" spans="1:2" x14ac:dyDescent="0.4">
      <c r="A108" s="9" t="s">
        <v>215</v>
      </c>
      <c r="B108" s="9" t="s">
        <v>216</v>
      </c>
    </row>
    <row r="109" spans="1:2" x14ac:dyDescent="0.4">
      <c r="A109" s="9" t="s">
        <v>217</v>
      </c>
      <c r="B109" s="9" t="s">
        <v>218</v>
      </c>
    </row>
    <row r="110" spans="1:2" x14ac:dyDescent="0.4">
      <c r="A110" s="9" t="s">
        <v>219</v>
      </c>
      <c r="B110" s="9" t="s">
        <v>220</v>
      </c>
    </row>
    <row r="111" spans="1:2" x14ac:dyDescent="0.4">
      <c r="A111" s="9" t="s">
        <v>221</v>
      </c>
      <c r="B111" s="9" t="s">
        <v>222</v>
      </c>
    </row>
    <row r="112" spans="1:2" x14ac:dyDescent="0.4">
      <c r="A112" s="9" t="s">
        <v>223</v>
      </c>
      <c r="B112" s="9" t="s">
        <v>224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6F58-7C3C-4E27-8E52-E7601B55A57A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F4E665-09BC-45EF-BC30-E4C0D5B936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N3346 БардышевАА ВолощукАН Суха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Мухаммет Суханкулиев</dc:creator>
  <cp:lastModifiedBy>Суханкулиев Мухаммет</cp:lastModifiedBy>
  <dcterms:created xsi:type="dcterms:W3CDTF">2015-06-05T18:19:34Z</dcterms:created>
  <dcterms:modified xsi:type="dcterms:W3CDTF">2025-11-13T14:22:34Z</dcterms:modified>
</cp:coreProperties>
</file>